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315" windowHeight="8070" activeTab="1"/>
  </bookViews>
  <sheets>
    <sheet name="第二学期数据分析表" sheetId="6" r:id="rId1"/>
    <sheet name="第二学期成绩表 (2)" sheetId="4" r:id="rId2"/>
    <sheet name="门店1" sheetId="2" r:id="rId3"/>
    <sheet name="门店2" sheetId="3" r:id="rId4"/>
    <sheet name="总计" sheetId="5" r:id="rId5"/>
    <sheet name="第一学期成绩表" sheetId="1" r:id="rId6"/>
  </sheets>
  <definedNames>
    <definedName name="_xlnm._FilterDatabase" localSheetId="1" hidden="1">'第二学期成绩表 (2)'!$A$57:$I$57</definedName>
  </definedName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B167" i="4" l="1"/>
  <c r="B166" i="4"/>
  <c r="B171" i="4"/>
  <c r="B170" i="4"/>
  <c r="B165" i="4"/>
  <c r="B164" i="4"/>
  <c r="B163" i="4"/>
  <c r="B162" i="4"/>
  <c r="B155" i="4"/>
  <c r="B156" i="4"/>
  <c r="B154" i="4"/>
  <c r="B153" i="4"/>
  <c r="C147" i="4"/>
  <c r="C143" i="4"/>
  <c r="B139" i="4"/>
  <c r="B138" i="4"/>
  <c r="B130" i="4"/>
  <c r="B173" i="4" l="1"/>
  <c r="B172" i="4"/>
  <c r="B169" i="4"/>
  <c r="B168" i="4"/>
  <c r="B160" i="4"/>
  <c r="B161" i="4" s="1"/>
  <c r="B159" i="4"/>
  <c r="B158" i="4"/>
  <c r="B152" i="4"/>
  <c r="B151" i="4"/>
  <c r="C148" i="4"/>
  <c r="C149" i="4"/>
  <c r="B150" i="4" s="1"/>
  <c r="C145" i="4"/>
  <c r="C144" i="4"/>
  <c r="B142" i="4"/>
  <c r="B141" i="4"/>
  <c r="B140" i="4"/>
  <c r="B128" i="4"/>
  <c r="B127" i="4"/>
  <c r="B137" i="4"/>
  <c r="B136" i="4"/>
  <c r="B135" i="4"/>
  <c r="B134" i="4"/>
  <c r="B133" i="4"/>
  <c r="B132" i="4"/>
  <c r="B129" i="4"/>
  <c r="B131" i="4"/>
  <c r="B157" i="4" l="1"/>
  <c r="D112" i="4"/>
  <c r="D113" i="4"/>
  <c r="D114" i="4"/>
  <c r="D115" i="4"/>
  <c r="D111" i="4"/>
  <c r="C112" i="4"/>
  <c r="C113" i="4"/>
  <c r="C114" i="4"/>
  <c r="C115" i="4"/>
  <c r="C111" i="4"/>
  <c r="J106" i="4"/>
  <c r="I106" i="4"/>
  <c r="E106" i="4"/>
  <c r="J105" i="4"/>
  <c r="I105" i="4"/>
  <c r="E105" i="4"/>
  <c r="J104" i="4"/>
  <c r="I104" i="4"/>
  <c r="E104" i="4"/>
  <c r="J103" i="4"/>
  <c r="I103" i="4"/>
  <c r="E103" i="4"/>
  <c r="J102" i="4"/>
  <c r="I102" i="4"/>
  <c r="E102" i="4"/>
  <c r="J101" i="4"/>
  <c r="I101" i="4"/>
  <c r="E101" i="4"/>
  <c r="J100" i="4"/>
  <c r="I100" i="4"/>
  <c r="E100" i="4"/>
  <c r="J99" i="4"/>
  <c r="I99" i="4"/>
  <c r="E99" i="4"/>
  <c r="J98" i="4"/>
  <c r="I98" i="4"/>
  <c r="E98" i="4"/>
  <c r="J97" i="4"/>
  <c r="I97" i="4"/>
  <c r="E97" i="4"/>
  <c r="F82" i="4" l="1"/>
  <c r="F76" i="4"/>
  <c r="F83" i="4" s="1"/>
  <c r="I67" i="4" l="1"/>
  <c r="H67" i="4"/>
  <c r="D67" i="4"/>
  <c r="I66" i="4"/>
  <c r="H66" i="4"/>
  <c r="D66" i="4"/>
  <c r="I65" i="4"/>
  <c r="H65" i="4"/>
  <c r="D65" i="4"/>
  <c r="I64" i="4"/>
  <c r="H64" i="4"/>
  <c r="D64" i="4"/>
  <c r="I63" i="4"/>
  <c r="H63" i="4"/>
  <c r="D63" i="4"/>
  <c r="I62" i="4"/>
  <c r="H62" i="4"/>
  <c r="D62" i="4"/>
  <c r="I61" i="4"/>
  <c r="H61" i="4"/>
  <c r="D61" i="4"/>
  <c r="I60" i="4"/>
  <c r="H60" i="4"/>
  <c r="D60" i="4"/>
  <c r="I59" i="4"/>
  <c r="H59" i="4"/>
  <c r="D59" i="4"/>
  <c r="I58" i="4"/>
  <c r="H58" i="4"/>
  <c r="D58" i="4"/>
  <c r="I49" i="4"/>
  <c r="H49" i="4"/>
  <c r="D49" i="4"/>
  <c r="I48" i="4"/>
  <c r="H48" i="4"/>
  <c r="D48" i="4"/>
  <c r="I47" i="4"/>
  <c r="H47" i="4"/>
  <c r="D47" i="4"/>
  <c r="I46" i="4"/>
  <c r="H46" i="4"/>
  <c r="D46" i="4"/>
  <c r="I45" i="4"/>
  <c r="H45" i="4"/>
  <c r="D45" i="4"/>
  <c r="I44" i="4"/>
  <c r="H44" i="4"/>
  <c r="D44" i="4"/>
  <c r="I43" i="4"/>
  <c r="H43" i="4"/>
  <c r="D43" i="4"/>
  <c r="I42" i="4"/>
  <c r="H42" i="4"/>
  <c r="D42" i="4"/>
  <c r="I41" i="4"/>
  <c r="H41" i="4"/>
  <c r="D41" i="4"/>
  <c r="I40" i="4"/>
  <c r="H40" i="4"/>
  <c r="D40" i="4"/>
  <c r="C35" i="4"/>
  <c r="C34" i="4"/>
  <c r="C33" i="4"/>
  <c r="C32" i="4"/>
  <c r="C31" i="4"/>
  <c r="C26" i="4"/>
  <c r="C25" i="4"/>
  <c r="C24" i="4"/>
  <c r="C23" i="4"/>
  <c r="C22" i="4"/>
  <c r="C12" i="4"/>
  <c r="C11" i="4"/>
  <c r="C10" i="4"/>
  <c r="C9" i="4"/>
  <c r="C8" i="4"/>
  <c r="I61" i="1"/>
  <c r="H61" i="1"/>
  <c r="D61" i="1"/>
  <c r="I66" i="1"/>
  <c r="H66" i="1"/>
  <c r="D66" i="1"/>
  <c r="I65" i="1"/>
  <c r="H65" i="1"/>
  <c r="D65" i="1"/>
  <c r="I60" i="1"/>
  <c r="H60" i="1"/>
  <c r="D60" i="1"/>
  <c r="I64" i="1"/>
  <c r="H64" i="1"/>
  <c r="D64" i="1"/>
  <c r="I63" i="1"/>
  <c r="H63" i="1"/>
  <c r="D63" i="1"/>
  <c r="I59" i="1"/>
  <c r="H59" i="1"/>
  <c r="D59" i="1"/>
  <c r="I62" i="1"/>
  <c r="H62" i="1"/>
  <c r="D62" i="1"/>
  <c r="I58" i="1"/>
  <c r="H58" i="1"/>
  <c r="D58" i="1"/>
  <c r="I57" i="1"/>
  <c r="H57" i="1"/>
  <c r="D57" i="1"/>
  <c r="I49" i="1"/>
  <c r="H49" i="1"/>
  <c r="D49" i="1"/>
  <c r="I48" i="1"/>
  <c r="H48" i="1"/>
  <c r="D48" i="1"/>
  <c r="I47" i="1"/>
  <c r="H47" i="1"/>
  <c r="D47" i="1"/>
  <c r="I46" i="1"/>
  <c r="H46" i="1"/>
  <c r="D46" i="1"/>
  <c r="I45" i="1"/>
  <c r="H45" i="1"/>
  <c r="D45" i="1"/>
  <c r="I44" i="1"/>
  <c r="H44" i="1"/>
  <c r="D44" i="1"/>
  <c r="I43" i="1"/>
  <c r="H43" i="1"/>
  <c r="D43" i="1"/>
  <c r="I42" i="1"/>
  <c r="H42" i="1"/>
  <c r="D42" i="1"/>
  <c r="I41" i="1"/>
  <c r="H41" i="1"/>
  <c r="D41" i="1"/>
  <c r="I40" i="1"/>
  <c r="H40" i="1"/>
  <c r="D40" i="1"/>
  <c r="C31" i="1" l="1"/>
  <c r="C32" i="1"/>
  <c r="C33" i="1"/>
  <c r="C34" i="1"/>
  <c r="C35" i="1"/>
  <c r="C22" i="1"/>
  <c r="C26" i="1"/>
  <c r="C25" i="1"/>
  <c r="C24" i="1"/>
  <c r="C23" i="1"/>
  <c r="C9" i="1"/>
  <c r="C10" i="1"/>
  <c r="C11" i="1"/>
  <c r="C12" i="1"/>
  <c r="C8" i="1"/>
</calcChain>
</file>

<file path=xl/sharedStrings.xml><?xml version="1.0" encoding="utf-8"?>
<sst xmlns="http://schemas.openxmlformats.org/spreadsheetml/2006/main" count="423" uniqueCount="196">
  <si>
    <t>身份证</t>
    <phoneticPr fontId="2" type="noConversion"/>
  </si>
  <si>
    <t>441602199302140017</t>
    <phoneticPr fontId="2" type="noConversion"/>
  </si>
  <si>
    <t>2. 数字和文本区别</t>
    <phoneticPr fontId="2" type="noConversion"/>
  </si>
  <si>
    <t>3. 自动填充和自定义填充</t>
    <phoneticPr fontId="2" type="noConversion"/>
  </si>
  <si>
    <t>第一列</t>
    <phoneticPr fontId="2" type="noConversion"/>
  </si>
  <si>
    <t>第二列</t>
    <phoneticPr fontId="2" type="noConversion"/>
  </si>
  <si>
    <t>求和</t>
    <phoneticPr fontId="2" type="noConversion"/>
  </si>
  <si>
    <t>季节</t>
    <phoneticPr fontId="2" type="noConversion"/>
  </si>
  <si>
    <t>春</t>
  </si>
  <si>
    <t>春</t>
    <phoneticPr fontId="2" type="noConversion"/>
  </si>
  <si>
    <t>夏</t>
  </si>
  <si>
    <t>秋</t>
  </si>
  <si>
    <t>冬</t>
  </si>
  <si>
    <t>5. 合并单元格</t>
    <phoneticPr fontId="2" type="noConversion"/>
  </si>
  <si>
    <t>数据说明</t>
    <phoneticPr fontId="2" type="noConversion"/>
  </si>
  <si>
    <t>数据说明2</t>
    <phoneticPr fontId="2" type="noConversion"/>
  </si>
  <si>
    <t>6. 设置单元格格式，边框，底纹</t>
    <phoneticPr fontId="2" type="noConversion"/>
  </si>
  <si>
    <t>7. 单元格两种工作模式</t>
    <phoneticPr fontId="2" type="noConversion"/>
  </si>
  <si>
    <t>学号</t>
    <phoneticPr fontId="2" type="noConversion"/>
  </si>
  <si>
    <t>姓名</t>
    <phoneticPr fontId="2" type="noConversion"/>
  </si>
  <si>
    <t>性别</t>
    <phoneticPr fontId="2" type="noConversion"/>
  </si>
  <si>
    <t>班级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</si>
  <si>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</si>
  <si>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</si>
  <si>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</si>
  <si>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总分</t>
    <phoneticPr fontId="2" type="noConversion"/>
  </si>
  <si>
    <t>平均分</t>
    <phoneticPr fontId="2" type="noConversion"/>
  </si>
  <si>
    <t>成龙</t>
    <phoneticPr fontId="2" type="noConversion"/>
  </si>
  <si>
    <t>男</t>
    <phoneticPr fontId="2" type="noConversion"/>
  </si>
  <si>
    <t>黎明</t>
    <phoneticPr fontId="2" type="noConversion"/>
  </si>
  <si>
    <t>女</t>
    <phoneticPr fontId="2" type="noConversion"/>
  </si>
  <si>
    <t>刘德华</t>
    <phoneticPr fontId="2" type="noConversion"/>
  </si>
  <si>
    <t>周星驰</t>
    <phoneticPr fontId="2" type="noConversion"/>
  </si>
  <si>
    <t>周西村</t>
    <phoneticPr fontId="2" type="noConversion"/>
  </si>
  <si>
    <t>周迅</t>
    <phoneticPr fontId="2" type="noConversion"/>
  </si>
  <si>
    <t>周珊珊</t>
    <phoneticPr fontId="2" type="noConversion"/>
  </si>
  <si>
    <t>周庄镇</t>
    <phoneticPr fontId="2" type="noConversion"/>
  </si>
  <si>
    <t>周杰伦</t>
    <phoneticPr fontId="2" type="noConversion"/>
  </si>
  <si>
    <t>9. 条件格式</t>
    <phoneticPr fontId="2" type="noConversion"/>
  </si>
  <si>
    <t>11. 工作表的保护与排序</t>
    <phoneticPr fontId="2" type="noConversion"/>
  </si>
  <si>
    <t>10. 新建，删除，隐藏，移动工作表</t>
    <phoneticPr fontId="2" type="noConversion"/>
  </si>
  <si>
    <t>产品</t>
    <phoneticPr fontId="2" type="noConversion"/>
  </si>
  <si>
    <t>一季度</t>
    <phoneticPr fontId="2" type="noConversion"/>
  </si>
  <si>
    <t>二季度</t>
    <phoneticPr fontId="2" type="noConversion"/>
  </si>
  <si>
    <t>三季度</t>
    <phoneticPr fontId="2" type="noConversion"/>
  </si>
  <si>
    <t>电视机</t>
    <phoneticPr fontId="2" type="noConversion"/>
  </si>
  <si>
    <t>电冰箱</t>
    <phoneticPr fontId="2" type="noConversion"/>
  </si>
  <si>
    <t>门店2</t>
    <phoneticPr fontId="2" type="noConversion"/>
  </si>
  <si>
    <t>产品</t>
    <phoneticPr fontId="2" type="noConversion"/>
  </si>
  <si>
    <t>一季度</t>
    <phoneticPr fontId="2" type="noConversion"/>
  </si>
  <si>
    <t>二季度</t>
    <phoneticPr fontId="2" type="noConversion"/>
  </si>
  <si>
    <t>三季度</t>
    <phoneticPr fontId="2" type="noConversion"/>
  </si>
  <si>
    <t>电视机</t>
    <phoneticPr fontId="2" type="noConversion"/>
  </si>
  <si>
    <t>电冰箱</t>
    <phoneticPr fontId="2" type="noConversion"/>
  </si>
  <si>
    <t>合计</t>
    <phoneticPr fontId="2" type="noConversion"/>
  </si>
  <si>
    <t>产品</t>
    <phoneticPr fontId="2" type="noConversion"/>
  </si>
  <si>
    <t>一季度</t>
    <phoneticPr fontId="2" type="noConversion"/>
  </si>
  <si>
    <t>二季度</t>
    <phoneticPr fontId="2" type="noConversion"/>
  </si>
  <si>
    <t>三季度</t>
    <phoneticPr fontId="2" type="noConversion"/>
  </si>
  <si>
    <t>电视机</t>
    <phoneticPr fontId="2" type="noConversion"/>
  </si>
  <si>
    <t>电冰箱</t>
    <phoneticPr fontId="2" type="noConversion"/>
  </si>
  <si>
    <t>门店1</t>
    <phoneticPr fontId="2" type="noConversion"/>
  </si>
  <si>
    <t>12. 数据合并</t>
    <phoneticPr fontId="2" type="noConversion"/>
  </si>
  <si>
    <t>12. 数据筛选</t>
    <phoneticPr fontId="2" type="noConversion"/>
  </si>
  <si>
    <t>编号</t>
    <phoneticPr fontId="2" type="noConversion"/>
  </si>
  <si>
    <t>部门</t>
    <phoneticPr fontId="2" type="noConversion"/>
  </si>
  <si>
    <t>年龄</t>
    <phoneticPr fontId="2" type="noConversion"/>
  </si>
  <si>
    <t>性别</t>
    <phoneticPr fontId="2" type="noConversion"/>
  </si>
  <si>
    <t>学历</t>
    <phoneticPr fontId="2" type="noConversion"/>
  </si>
  <si>
    <t>工资</t>
    <phoneticPr fontId="2" type="noConversion"/>
  </si>
  <si>
    <t>c001</t>
    <phoneticPr fontId="2" type="noConversion"/>
  </si>
  <si>
    <t>c002</t>
    <phoneticPr fontId="2" type="noConversion"/>
  </si>
  <si>
    <t>c003</t>
    <phoneticPr fontId="2" type="noConversion"/>
  </si>
  <si>
    <t>c004</t>
    <phoneticPr fontId="2" type="noConversion"/>
  </si>
  <si>
    <t>c005</t>
    <phoneticPr fontId="2" type="noConversion"/>
  </si>
  <si>
    <t>c006</t>
    <phoneticPr fontId="2" type="noConversion"/>
  </si>
  <si>
    <t>c007</t>
    <phoneticPr fontId="2" type="noConversion"/>
  </si>
  <si>
    <t>c008</t>
    <phoneticPr fontId="2" type="noConversion"/>
  </si>
  <si>
    <t>c009</t>
    <phoneticPr fontId="2" type="noConversion"/>
  </si>
  <si>
    <t>开发部</t>
    <phoneticPr fontId="2" type="noConversion"/>
  </si>
  <si>
    <t>销售部</t>
    <phoneticPr fontId="2" type="noConversion"/>
  </si>
  <si>
    <t>培训部</t>
    <phoneticPr fontId="2" type="noConversion"/>
  </si>
  <si>
    <t>男</t>
  </si>
  <si>
    <t>男</t>
    <phoneticPr fontId="2" type="noConversion"/>
  </si>
  <si>
    <t>女</t>
  </si>
  <si>
    <t>女</t>
    <phoneticPr fontId="2" type="noConversion"/>
  </si>
  <si>
    <t>女</t>
    <phoneticPr fontId="2" type="noConversion"/>
  </si>
  <si>
    <t>本科</t>
  </si>
  <si>
    <t>本科</t>
    <phoneticPr fontId="2" type="noConversion"/>
  </si>
  <si>
    <t>大专</t>
  </si>
  <si>
    <t>大专</t>
    <phoneticPr fontId="2" type="noConversion"/>
  </si>
  <si>
    <t>总计</t>
  </si>
  <si>
    <t>男 平均值</t>
  </si>
  <si>
    <t>女 平均值</t>
  </si>
  <si>
    <t>总计平均值</t>
  </si>
  <si>
    <t>13. 分类汇总，先排序后分类</t>
    <phoneticPr fontId="2" type="noConversion"/>
  </si>
  <si>
    <t>14. 数据有效性</t>
    <phoneticPr fontId="2" type="noConversion"/>
  </si>
  <si>
    <t>姓名</t>
    <phoneticPr fontId="2" type="noConversion"/>
  </si>
  <si>
    <t>张1</t>
    <phoneticPr fontId="2" type="noConversion"/>
  </si>
  <si>
    <t>张2</t>
  </si>
  <si>
    <t>张3</t>
  </si>
  <si>
    <t>张4</t>
  </si>
  <si>
    <t>张5</t>
  </si>
  <si>
    <t>15. 数据透视表</t>
    <phoneticPr fontId="2" type="noConversion"/>
  </si>
  <si>
    <t>行标签</t>
  </si>
  <si>
    <t>计数项:学号</t>
  </si>
  <si>
    <t>&lt;80</t>
  </si>
  <si>
    <t>80-90</t>
  </si>
  <si>
    <t>90-100</t>
  </si>
  <si>
    <t>计数项:学号2</t>
  </si>
  <si>
    <t>17. 相对引用和绝对引用</t>
    <phoneticPr fontId="2" type="noConversion"/>
  </si>
  <si>
    <t>第一列</t>
    <phoneticPr fontId="2" type="noConversion"/>
  </si>
  <si>
    <t>第二列</t>
    <phoneticPr fontId="2" type="noConversion"/>
  </si>
  <si>
    <t>求和</t>
    <phoneticPr fontId="2" type="noConversion"/>
  </si>
  <si>
    <t>绝对引用</t>
    <phoneticPr fontId="2" type="noConversion"/>
  </si>
  <si>
    <t>sum</t>
    <phoneticPr fontId="2" type="noConversion"/>
  </si>
  <si>
    <t>average</t>
    <phoneticPr fontId="2" type="noConversion"/>
  </si>
  <si>
    <t>count</t>
    <phoneticPr fontId="2" type="noConversion"/>
  </si>
  <si>
    <t>min</t>
    <phoneticPr fontId="2" type="noConversion"/>
  </si>
  <si>
    <t>large</t>
    <phoneticPr fontId="2" type="noConversion"/>
  </si>
  <si>
    <t>small</t>
    <phoneticPr fontId="2" type="noConversion"/>
  </si>
  <si>
    <t>abs</t>
    <phoneticPr fontId="2" type="noConversion"/>
  </si>
  <si>
    <t>round</t>
    <phoneticPr fontId="2" type="noConversion"/>
  </si>
  <si>
    <t>trunc</t>
    <phoneticPr fontId="2" type="noConversion"/>
  </si>
  <si>
    <t>max</t>
    <phoneticPr fontId="2" type="noConversion"/>
  </si>
  <si>
    <t>第三列</t>
    <phoneticPr fontId="2" type="noConversion"/>
  </si>
  <si>
    <t>or</t>
    <phoneticPr fontId="2" type="noConversion"/>
  </si>
  <si>
    <t>and</t>
    <phoneticPr fontId="2" type="noConversion"/>
  </si>
  <si>
    <t>成绩</t>
    <phoneticPr fontId="2" type="noConversion"/>
  </si>
  <si>
    <t>if</t>
    <phoneticPr fontId="2" type="noConversion"/>
  </si>
  <si>
    <t>sumif</t>
    <phoneticPr fontId="2" type="noConversion"/>
  </si>
  <si>
    <t>性别</t>
    <phoneticPr fontId="2" type="noConversion"/>
  </si>
  <si>
    <t>男</t>
    <phoneticPr fontId="2" type="noConversion"/>
  </si>
  <si>
    <t>女</t>
    <phoneticPr fontId="2" type="noConversion"/>
  </si>
  <si>
    <t>女生成绩求和</t>
    <phoneticPr fontId="2" type="noConversion"/>
  </si>
  <si>
    <t>男生成绩求和</t>
    <phoneticPr fontId="2" type="noConversion"/>
  </si>
  <si>
    <t>sumifs</t>
    <phoneticPr fontId="2" type="noConversion"/>
  </si>
  <si>
    <t>20岁内男生成绩求和</t>
    <phoneticPr fontId="2" type="noConversion"/>
  </si>
  <si>
    <t>年龄</t>
    <phoneticPr fontId="2" type="noConversion"/>
  </si>
  <si>
    <t>vlookup</t>
    <phoneticPr fontId="2" type="noConversion"/>
  </si>
  <si>
    <t>姓名</t>
    <phoneticPr fontId="2" type="noConversion"/>
  </si>
  <si>
    <t>学号</t>
    <phoneticPr fontId="2" type="noConversion"/>
  </si>
  <si>
    <t>张1</t>
    <phoneticPr fontId="2" type="noConversion"/>
  </si>
  <si>
    <t>lookup</t>
    <phoneticPr fontId="2" type="noConversion"/>
  </si>
  <si>
    <t>rank</t>
    <phoneticPr fontId="2" type="noConversion"/>
  </si>
  <si>
    <t>19. 函数</t>
    <phoneticPr fontId="2" type="noConversion"/>
  </si>
  <si>
    <t>today</t>
    <phoneticPr fontId="2" type="noConversion"/>
  </si>
  <si>
    <t>year</t>
    <phoneticPr fontId="2" type="noConversion"/>
  </si>
  <si>
    <t>month</t>
    <phoneticPr fontId="2" type="noConversion"/>
  </si>
  <si>
    <t>date</t>
    <phoneticPr fontId="2" type="noConversion"/>
  </si>
  <si>
    <t>time</t>
    <phoneticPr fontId="2" type="noConversion"/>
  </si>
  <si>
    <t>hour</t>
    <phoneticPr fontId="2" type="noConversion"/>
  </si>
  <si>
    <t>minute</t>
    <phoneticPr fontId="2" type="noConversion"/>
  </si>
  <si>
    <t>second</t>
    <phoneticPr fontId="2" type="noConversion"/>
  </si>
  <si>
    <t>now</t>
    <phoneticPr fontId="2" type="noConversion"/>
  </si>
  <si>
    <t>weekday</t>
    <phoneticPr fontId="2" type="noConversion"/>
  </si>
  <si>
    <t>mid</t>
    <phoneticPr fontId="2" type="noConversion"/>
  </si>
  <si>
    <t>left</t>
    <phoneticPr fontId="2" type="noConversion"/>
  </si>
  <si>
    <t>right</t>
    <phoneticPr fontId="2" type="noConversion"/>
  </si>
  <si>
    <t>trim</t>
    <phoneticPr fontId="2" type="noConversion"/>
  </si>
  <si>
    <t>安倍晋三</t>
    <phoneticPr fontId="2" type="noConversion"/>
  </si>
  <si>
    <t>len</t>
    <phoneticPr fontId="2" type="noConversion"/>
  </si>
  <si>
    <t>lenb</t>
    <phoneticPr fontId="2" type="noConversion"/>
  </si>
  <si>
    <t>张abc</t>
    <phoneticPr fontId="2" type="noConversion"/>
  </si>
  <si>
    <t>张3</t>
    <phoneticPr fontId="2" type="noConversion"/>
  </si>
  <si>
    <t>text</t>
    <phoneticPr fontId="2" type="noConversion"/>
  </si>
  <si>
    <t>mod</t>
    <phoneticPr fontId="2" type="noConversion"/>
  </si>
  <si>
    <t>isodd</t>
    <phoneticPr fontId="2" type="noConversion"/>
  </si>
  <si>
    <t>iseven</t>
    <phoneticPr fontId="2" type="noConversion"/>
  </si>
  <si>
    <t>20. 图表类型</t>
    <phoneticPr fontId="2" type="noConversion"/>
  </si>
  <si>
    <t>张4</t>
    <phoneticPr fontId="2" type="noConversion"/>
  </si>
  <si>
    <t>科目</t>
    <phoneticPr fontId="2" type="noConversion"/>
  </si>
  <si>
    <t>英语</t>
    <phoneticPr fontId="2" type="noConversion"/>
  </si>
  <si>
    <t>数学</t>
    <phoneticPr fontId="2" type="noConversion"/>
  </si>
  <si>
    <t>序号</t>
    <phoneticPr fontId="2" type="noConversion"/>
  </si>
  <si>
    <t>城市</t>
    <phoneticPr fontId="2" type="noConversion"/>
  </si>
  <si>
    <t>广州</t>
    <phoneticPr fontId="2" type="noConversion"/>
  </si>
  <si>
    <t>北京</t>
    <phoneticPr fontId="2" type="noConversion"/>
  </si>
  <si>
    <t>上海</t>
    <phoneticPr fontId="2" type="noConversion"/>
  </si>
  <si>
    <t>深圳</t>
    <phoneticPr fontId="2" type="noConversion"/>
  </si>
  <si>
    <t>香港</t>
    <phoneticPr fontId="2" type="noConversion"/>
  </si>
  <si>
    <t>房价</t>
    <phoneticPr fontId="2" type="noConversion"/>
  </si>
  <si>
    <t>上涨</t>
    <phoneticPr fontId="2" type="noConversion"/>
  </si>
  <si>
    <t>部门1</t>
    <phoneticPr fontId="2" type="noConversion"/>
  </si>
  <si>
    <t>部门2</t>
    <phoneticPr fontId="2" type="noConversion"/>
  </si>
  <si>
    <t>部门3</t>
    <phoneticPr fontId="2" type="noConversion"/>
  </si>
  <si>
    <t>一月</t>
    <phoneticPr fontId="2" type="noConversion"/>
  </si>
  <si>
    <t>二月</t>
    <phoneticPr fontId="2" type="noConversion"/>
  </si>
  <si>
    <t>三月</t>
    <phoneticPr fontId="2" type="noConversion"/>
  </si>
  <si>
    <t>23. 迷你图</t>
    <phoneticPr fontId="2" type="noConversion"/>
  </si>
  <si>
    <t>counta</t>
    <phoneticPr fontId="2" type="noConversion"/>
  </si>
  <si>
    <t>int</t>
    <phoneticPr fontId="2" type="noConversion"/>
  </si>
  <si>
    <t>roundup</t>
    <phoneticPr fontId="2" type="noConversion"/>
  </si>
  <si>
    <t>张     5</t>
    <phoneticPr fontId="2" type="noConversion"/>
  </si>
  <si>
    <t>concatename</t>
    <phoneticPr fontId="2" type="noConversion"/>
  </si>
  <si>
    <t>&amp;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</si>
</sst>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2" xfId="0" applyFont="1" applyBorder="1">
      <alignment vertical="center"/>
    </xf>
    <xf numFmtId="0" fontId="1" fillId="2" borderId="3" xfId="1" applyBorder="1">
      <alignment vertical="center"/>
    </xf>
    <xf numFmtId="0" fontId="1" fillId="2" borderId="0" xfId="1" applyBorder="1">
      <alignment vertical="center"/>
    </xf>
    <xf numFmtId="0" fontId="1" fillId="2" borderId="4" xfId="1" applyBorder="1">
      <alignment vertical="center"/>
    </xf>
    <xf numFmtId="0" fontId="1" fillId="2" borderId="5" xfId="1" applyBorder="1">
      <alignment vertical="center"/>
    </xf>
    <xf numFmtId="0" fontId="1" fillId="2" borderId="1" xfId="1" applyBorder="1">
      <alignment vertical="center"/>
    </xf>
    <xf numFmtId="0" fontId="1" fillId="2" borderId="6" xfId="1" applyBorder="1">
      <alignment vertical="center"/>
    </xf>
    <xf numFmtId="0" fontId="4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18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强调文字颜色 1" xfId="1" builtinId="29"/>
  </cellStyles>
  <dxfs count="38">
    <dxf>
      <numFmt numFmtId="0" formatCode="General"/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numFmt numFmtId="0" formatCode="General"/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'第二学期成绩表 (2)'!$C$177</c:f>
              <c:strCache>
                <c:ptCount val="1"/>
                <c:pt idx="0">
                  <c:v>成绩</c:v>
                </c:pt>
              </c:strCache>
            </c:strRef>
          </c:tx>
          <c:invertIfNegative val="0"/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'第二学期成绩表 (2)'!$A$178:$B$182</c:f>
              <c:multiLvlStrCache>
                <c:ptCount val="5"/>
                <c:lvl>
                  <c:pt idx="0">
                    <c:v>英语</c:v>
                  </c:pt>
                  <c:pt idx="1">
                    <c:v>英语</c:v>
                  </c:pt>
                  <c:pt idx="2">
                    <c:v>数学</c:v>
                  </c:pt>
                  <c:pt idx="3">
                    <c:v>数学</c:v>
                  </c:pt>
                  <c:pt idx="4">
                    <c:v>英语</c:v>
                  </c:pt>
                </c:lvl>
                <c:lvl>
                  <c:pt idx="0">
                    <c:v>张1</c:v>
                  </c:pt>
                  <c:pt idx="1">
                    <c:v>张2</c:v>
                  </c:pt>
                  <c:pt idx="2">
                    <c:v>张3</c:v>
                  </c:pt>
                  <c:pt idx="3">
                    <c:v>张4</c:v>
                  </c:pt>
                  <c:pt idx="4">
                    <c:v>安倍晋三</c:v>
                  </c:pt>
                </c:lvl>
              </c:multiLvlStrCache>
            </c:multiLvlStrRef>
          </c:cat>
          <c:val>
            <c:numRef>
              <c:f>'第二学期成绩表 (2)'!$C$178:$C$182</c:f>
              <c:numCache>
                <c:formatCode>General</c:formatCode>
                <c:ptCount val="5"/>
                <c:pt idx="0">
                  <c:v>50</c:v>
                </c:pt>
                <c:pt idx="1">
                  <c:v>74</c:v>
                </c:pt>
                <c:pt idx="2">
                  <c:v>88</c:v>
                </c:pt>
                <c:pt idx="3">
                  <c:v>70</c:v>
                </c:pt>
                <c:pt idx="4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871552"/>
        <c:axId val="246873472"/>
      </c:barChart>
      <c:catAx>
        <c:axId val="246871552"/>
        <c:scaling>
          <c:orientation val="minMax"/>
        </c:scaling>
        <c:delete val="0"/>
        <c:axPos val="b"/>
        <c:title>
          <c:overlay val="0"/>
        </c:title>
        <c:majorTickMark val="out"/>
        <c:minorTickMark val="none"/>
        <c:tickLblPos val="nextTo"/>
        <c:crossAx val="246873472"/>
        <c:crosses val="autoZero"/>
        <c:auto val="1"/>
        <c:lblAlgn val="ctr"/>
        <c:lblOffset val="100"/>
        <c:noMultiLvlLbl val="0"/>
      </c:catAx>
      <c:valAx>
        <c:axId val="246873472"/>
        <c:scaling>
          <c:orientation val="minMax"/>
          <c:max val="100"/>
          <c:min val="20"/>
        </c:scaling>
        <c:delete val="0"/>
        <c:axPos val="l"/>
        <c:majorGridlines/>
        <c:title>
          <c:overlay val="0"/>
          <c:txPr>
            <a:bodyPr rot="0" vert="wordArtVertRtl"/>
            <a:lstStyle/>
            <a:p>
              <a:pPr>
                <a:defRPr/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crossAx val="24687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房价趋势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381720849250284E-2"/>
          <c:y val="0.17741870338951088"/>
          <c:w val="0.67271827337621548"/>
          <c:h val="0.6587908831878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'第二学期成绩表 (2)'!$C$200</c:f>
              <c:strCache>
                <c:ptCount val="1"/>
                <c:pt idx="0">
                  <c:v>房价</c:v>
                </c:pt>
              </c:strCache>
            </c:strRef>
          </c:tx>
          <c:invertIfNegative val="0"/>
          <c:cat>
            <c:strRef>
              <c:f>'第二学期成绩表 (2)'!$B$201:$B$205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'第二学期成绩表 (2)'!$C$201:$C$205</c:f>
              <c:numCache>
                <c:formatCode>General</c:formatCode>
                <c:ptCount val="5"/>
                <c:pt idx="0">
                  <c:v>13000</c:v>
                </c:pt>
                <c:pt idx="1">
                  <c:v>14000</c:v>
                </c:pt>
                <c:pt idx="2">
                  <c:v>21000</c:v>
                </c:pt>
                <c:pt idx="3">
                  <c:v>18000</c:v>
                </c:pt>
                <c:pt idx="4">
                  <c:v>44000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187328"/>
        <c:axId val="247188864"/>
      </c:barChart>
      <c:lineChart>
        <c:grouping val="stacked"/>
        <c:varyColors val="0"/>
        <c:ser>
          <c:idx val="1"/>
          <c:order val="1"/>
          <c:tx>
            <c:strRef>
              <c:f>'第二学期成绩表 (2)'!$D$200</c:f>
              <c:strCache>
                <c:ptCount val="1"/>
                <c:pt idx="0">
                  <c:v>上涨</c:v>
                </c:pt>
              </c:strCache>
            </c:strRef>
          </c:tx>
          <c:marker>
            <c:symbol val="circle"/>
            <c:size val="7"/>
          </c:marker>
          <c:cat>
            <c:strRef>
              <c:f>'第二学期成绩表 (2)'!$B$201:$B$205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'第二学期成绩表 (2)'!$D$201:$D$205</c:f>
              <c:numCache>
                <c:formatCode>0.00%</c:formatCode>
                <c:ptCount val="5"/>
                <c:pt idx="0">
                  <c:v>1.4E-2</c:v>
                </c:pt>
                <c:pt idx="1">
                  <c:v>3.4000000000000002E-2</c:v>
                </c:pt>
                <c:pt idx="2">
                  <c:v>2.5999999999999999E-2</c:v>
                </c:pt>
                <c:pt idx="3">
                  <c:v>1.0999999999999999E-2</c:v>
                </c:pt>
                <c:pt idx="4">
                  <c:v>3.4000000000000002E-2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66624"/>
        <c:axId val="247465088"/>
      </c:lineChart>
      <c:catAx>
        <c:axId val="247187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188864"/>
        <c:crosses val="autoZero"/>
        <c:auto val="1"/>
        <c:lblAlgn val="ctr"/>
        <c:lblOffset val="100"/>
        <c:noMultiLvlLbl val="0"/>
      </c:catAx>
      <c:valAx>
        <c:axId val="24718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187328"/>
        <c:crosses val="autoZero"/>
        <c:crossBetween val="between"/>
      </c:valAx>
      <c:valAx>
        <c:axId val="24746508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47466624"/>
        <c:crosses val="max"/>
        <c:crossBetween val="between"/>
      </c:valAx>
      <c:catAx>
        <c:axId val="247466624"/>
        <c:scaling>
          <c:orientation val="minMax"/>
        </c:scaling>
        <c:delete val="1"/>
        <c:axPos val="b"/>
        <c:majorTickMark val="out"/>
        <c:minorTickMark val="none"/>
        <c:tickLblPos val="nextTo"/>
        <c:crossAx val="24746508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175</xdr:row>
      <xdr:rowOff>147637</xdr:rowOff>
    </xdr:from>
    <xdr:to>
      <xdr:col>10</xdr:col>
      <xdr:colOff>276224</xdr:colOff>
      <xdr:row>196</xdr:row>
      <xdr:rowOff>85725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76199</xdr:colOff>
      <xdr:row>198</xdr:row>
      <xdr:rowOff>142875</xdr:rowOff>
    </xdr:from>
    <xdr:to>
      <xdr:col>10</xdr:col>
      <xdr:colOff>657225</xdr:colOff>
      <xdr:row>221</xdr:row>
      <xdr:rowOff>133350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s" refreshedDate="43760.460026620371" createdVersion="4" refreshedVersion="4" minRefreshableVersion="3" recordCount="10">
  <cacheSource type="worksheet">
    <worksheetSource ref="A96:J106" sheet="第二学期成绩表 (2)"/>
  </cacheSource>
  <cacheFields count="10">
    <cacheField name="学号" numFmtId="0">
      <sharedItems containsSemiMixedTypes="0" containsString="0" containsNumber="1" containsInteger="1" minValue="120104" maxValue="120304"/>
    </cacheField>
    <cacheField name="姓名" numFmtId="0">
      <sharedItems/>
    </cacheField>
    <cacheField name="性别" numFmtId="0">
      <sharedItems count="2">
        <s v="男"/>
        <s v="女"/>
      </sharedItems>
    </cacheField>
    <cacheField name="年龄" numFmtId="0">
      <sharedItems containsSemiMixedTypes="0" containsString="0" containsNumber="1" containsInteger="1" minValue="16" maxValue="26"/>
    </cacheField>
    <cacheField name="班级" numFmtId="0">
      <sharedItems count="3">
        <s v="1班"/>
        <s v="2班"/>
        <s v="3班"/>
      </sharedItems>
    </cacheField>
    <cacheField name="语文" numFmtId="0">
      <sharedItems containsSemiMixedTypes="0" containsString="0" containsNumber="1" containsInteger="1" minValue="54" maxValue="98"/>
    </cacheField>
    <cacheField name="数学" numFmtId="0">
      <sharedItems containsSemiMixedTypes="0" containsString="0" containsNumber="1" containsInteger="1" minValue="64" maxValue="99"/>
    </cacheField>
    <cacheField name="英语" numFmtId="0">
      <sharedItems containsSemiMixedTypes="0" containsString="0" containsNumber="1" containsInteger="1" minValue="56" maxValue="97"/>
    </cacheField>
    <cacheField name="总分" numFmtId="0">
      <sharedItems containsSemiMixedTypes="0" containsString="0" containsNumber="1" containsInteger="1" minValue="196" maxValue="273"/>
    </cacheField>
    <cacheField name="平均分" numFmtId="0">
      <sharedItems containsSemiMixedTypes="0" containsString="0" containsNumber="1" minValue="65.333333333333329" maxValue="91" count="8">
        <n v="79.666666666666671"/>
        <n v="83.666666666666671"/>
        <n v="85.666666666666671"/>
        <n v="74.333333333333329"/>
        <n v="79"/>
        <n v="77"/>
        <n v="65.333333333333329"/>
        <n v="91"/>
      </sharedItems>
      <fieldGroup base="9">
        <rangePr autoStart="0" autoEnd="0" startNum="80" endNum="100" groupInterval="10"/>
        <groupItems count="4">
          <s v="&lt;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20104"/>
    <s v="成龙"/>
    <x v="0"/>
    <n v="21"/>
    <x v="0"/>
    <n v="98"/>
    <n v="85"/>
    <n v="56"/>
    <n v="239"/>
    <x v="0"/>
  </r>
  <r>
    <n v="120207"/>
    <s v="成龙"/>
    <x v="0"/>
    <n v="24"/>
    <x v="1"/>
    <n v="94"/>
    <n v="99"/>
    <n v="58"/>
    <n v="251"/>
    <x v="1"/>
  </r>
  <r>
    <n v="120203"/>
    <s v="刘德华"/>
    <x v="0"/>
    <n v="23"/>
    <x v="1"/>
    <n v="76"/>
    <n v="84"/>
    <n v="97"/>
    <n v="257"/>
    <x v="2"/>
  </r>
  <r>
    <n v="120109"/>
    <s v="周迅"/>
    <x v="0"/>
    <n v="26"/>
    <x v="0"/>
    <n v="76"/>
    <n v="64"/>
    <n v="83"/>
    <n v="223"/>
    <x v="3"/>
  </r>
  <r>
    <n v="120105"/>
    <s v="周杰伦"/>
    <x v="0"/>
    <n v="16"/>
    <x v="0"/>
    <n v="78"/>
    <n v="95"/>
    <n v="64"/>
    <n v="237"/>
    <x v="4"/>
  </r>
  <r>
    <n v="120301"/>
    <s v="黎明"/>
    <x v="1"/>
    <n v="23"/>
    <x v="2"/>
    <n v="89"/>
    <n v="94"/>
    <n v="74"/>
    <n v="257"/>
    <x v="2"/>
  </r>
  <r>
    <n v="120304"/>
    <s v="周星驰"/>
    <x v="1"/>
    <n v="25"/>
    <x v="2"/>
    <n v="74"/>
    <n v="78"/>
    <n v="79"/>
    <n v="231"/>
    <x v="5"/>
  </r>
  <r>
    <n v="120208"/>
    <s v="周西村"/>
    <x v="1"/>
    <n v="26"/>
    <x v="1"/>
    <n v="54"/>
    <n v="74"/>
    <n v="95"/>
    <n v="223"/>
    <x v="3"/>
  </r>
  <r>
    <n v="120303"/>
    <s v="周珊珊"/>
    <x v="1"/>
    <n v="23"/>
    <x v="2"/>
    <n v="55"/>
    <n v="83"/>
    <n v="58"/>
    <n v="196"/>
    <x v="6"/>
  </r>
  <r>
    <n v="120304"/>
    <s v="周庄镇"/>
    <x v="1"/>
    <n v="21"/>
    <x v="2"/>
    <n v="93"/>
    <n v="85"/>
    <n v="95"/>
    <n v="27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C7" firstHeaderRow="0" firstDataRow="1" firstDataCol="1"/>
  <pivotFields count="10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学号" fld="0" subtotal="count" baseField="9" baseItem="0"/>
    <dataField name="计数项:学号2" fld="0" subtotal="count" showDataAs="percentOfCo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2_4" displayName="表2_4" ref="A30:D35" totalsRowShown="0">
  <autoFilter ref="A30:D35"/>
  <tableColumns count="4">
    <tableColumn id="1" name="第一列"/>
    <tableColumn id="2" name="第二列"/>
    <tableColumn id="3" name="求和" dataDxfId="15">
      <calculatedColumnFormula>表2_4[[#This Row],[第一列]]+表2_4[[#This Row],[第二列]]</calculatedColumnFormula>
    </tableColumn>
    <tableColumn id="4" name="季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71:F83" totalsRowShown="0">
  <autoFilter ref="A71:F83"/>
  <tableColumns count="6">
    <tableColumn id="1" name="编号"/>
    <tableColumn id="2" name="部门"/>
    <tableColumn id="3" name="年龄"/>
    <tableColumn id="4" name="性别"/>
    <tableColumn id="5" name="学历"/>
    <tableColumn id="6" name="工资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2" name="表2" displayName="表2" ref="A30:D35" totalsRowShown="0">
  <autoFilter ref="A30:D35"/>
  <tableColumns count="4">
    <tableColumn id="1" name="第一列"/>
    <tableColumn id="2" name="第二列"/>
    <tableColumn id="3" name="求和" dataDxfId="0">
      <calculatedColumnFormula>表2[[#This Row],[第一列]]+表2[[#This Row],[第二列]]</calculatedColumnFormula>
    </tableColumn>
    <tableColumn id="4" name="季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B4" sqref="B4"/>
    </sheetView>
  </sheetViews>
  <sheetFormatPr defaultRowHeight="13.5" x14ac:dyDescent="0.15"/>
  <cols>
    <col min="1" max="1" width="9.75" bestFit="1" customWidth="1"/>
    <col min="2" max="2" width="13.125" customWidth="1"/>
    <col min="3" max="3" width="14.375" customWidth="1"/>
    <col min="4" max="4" width="4.875" customWidth="1"/>
    <col min="5" max="5" width="5.75" customWidth="1"/>
    <col min="6" max="6" width="13.125" bestFit="1" customWidth="1"/>
    <col min="7" max="7" width="14.375" bestFit="1" customWidth="1"/>
    <col min="8" max="8" width="17.625" bestFit="1" customWidth="1"/>
    <col min="9" max="9" width="18.875" bestFit="1" customWidth="1"/>
  </cols>
  <sheetData>
    <row r="3" spans="1:3" x14ac:dyDescent="0.15">
      <c r="A3" s="10" t="s">
        <v>104</v>
      </c>
      <c r="B3" t="s">
        <v>105</v>
      </c>
      <c r="C3" t="s">
        <v>109</v>
      </c>
    </row>
    <row r="4" spans="1:3" x14ac:dyDescent="0.15">
      <c r="A4" s="11" t="s">
        <v>106</v>
      </c>
      <c r="B4" s="12">
        <v>6</v>
      </c>
      <c r="C4" s="13">
        <v>0.6</v>
      </c>
    </row>
    <row r="5" spans="1:3" x14ac:dyDescent="0.15">
      <c r="A5" s="11" t="s">
        <v>107</v>
      </c>
      <c r="B5" s="12">
        <v>3</v>
      </c>
      <c r="C5" s="13">
        <v>0.3</v>
      </c>
    </row>
    <row r="6" spans="1:3" x14ac:dyDescent="0.15">
      <c r="A6" s="11" t="s">
        <v>108</v>
      </c>
      <c r="B6" s="12">
        <v>1</v>
      </c>
      <c r="C6" s="13">
        <v>0.1</v>
      </c>
    </row>
    <row r="7" spans="1:3" x14ac:dyDescent="0.15">
      <c r="A7" s="11" t="s">
        <v>91</v>
      </c>
      <c r="B7" s="12">
        <v>10</v>
      </c>
      <c r="C7" s="13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"/>
  <sheetViews>
    <sheetView tabSelected="1" topLeftCell="A52" workbookViewId="0">
      <selection activeCell="E69" sqref="E69"/>
    </sheetView>
  </sheetViews>
  <sheetFormatPr defaultRowHeight="13.5" outlineLevelRow="2" x14ac:dyDescent="0.15"/>
  <cols>
    <col min="2" max="2" width="18.375" bestFit="1" customWidth="1"/>
    <col min="6" max="6" width="10.5" bestFit="1" customWidth="1"/>
    <col min="8" max="8" width="9.5" bestFit="1" customWidth="1"/>
  </cols>
  <sheetData>
    <row r="1" spans="1:4" x14ac:dyDescent="0.15">
      <c r="A1" t="s">
        <v>2</v>
      </c>
    </row>
    <row r="2" spans="1:4" x14ac:dyDescent="0.15">
      <c r="A2" t="s">
        <v>0</v>
      </c>
    </row>
    <row r="3" spans="1:4" x14ac:dyDescent="0.15">
      <c r="A3" s="1" t="s">
        <v>1</v>
      </c>
    </row>
    <row r="6" spans="1:4" x14ac:dyDescent="0.15">
      <c r="A6" t="s">
        <v>3</v>
      </c>
    </row>
    <row r="7" spans="1:4" x14ac:dyDescent="0.15">
      <c r="A7" s="19" t="s">
        <v>4</v>
      </c>
      <c r="B7" s="19" t="s">
        <v>5</v>
      </c>
      <c r="C7" s="19" t="s">
        <v>6</v>
      </c>
      <c r="D7" s="19" t="s">
        <v>7</v>
      </c>
    </row>
    <row r="8" spans="1:4" x14ac:dyDescent="0.15">
      <c r="A8" s="19">
        <v>1</v>
      </c>
      <c r="B8" s="19">
        <v>3</v>
      </c>
      <c r="C8" s="19">
        <f>A8+B8</f>
        <v>4</v>
      </c>
      <c r="D8" s="19" t="s">
        <v>9</v>
      </c>
    </row>
    <row r="9" spans="1:4" x14ac:dyDescent="0.15">
      <c r="A9" s="19">
        <v>3</v>
      </c>
      <c r="B9" s="19">
        <v>2</v>
      </c>
      <c r="C9" s="19">
        <f t="shared" ref="C9:C12" si="0">A9+B9</f>
        <v>5</v>
      </c>
      <c r="D9" s="19" t="s">
        <v>10</v>
      </c>
    </row>
    <row r="10" spans="1:4" x14ac:dyDescent="0.15">
      <c r="A10" s="19">
        <v>2</v>
      </c>
      <c r="B10" s="19">
        <v>1</v>
      </c>
      <c r="C10" s="19">
        <f t="shared" si="0"/>
        <v>3</v>
      </c>
      <c r="D10" s="19" t="s">
        <v>11</v>
      </c>
    </row>
    <row r="11" spans="1:4" x14ac:dyDescent="0.15">
      <c r="A11" s="19">
        <v>5</v>
      </c>
      <c r="B11" s="19">
        <v>3</v>
      </c>
      <c r="C11" s="19">
        <f t="shared" si="0"/>
        <v>8</v>
      </c>
      <c r="D11" s="19" t="s">
        <v>12</v>
      </c>
    </row>
    <row r="12" spans="1:4" x14ac:dyDescent="0.15">
      <c r="A12" s="19">
        <v>4</v>
      </c>
      <c r="B12" s="19">
        <v>4</v>
      </c>
      <c r="C12" s="19">
        <f t="shared" si="0"/>
        <v>8</v>
      </c>
      <c r="D12" s="19" t="s">
        <v>8</v>
      </c>
    </row>
    <row r="15" spans="1:4" x14ac:dyDescent="0.15">
      <c r="A15" t="s">
        <v>13</v>
      </c>
    </row>
    <row r="16" spans="1:4" x14ac:dyDescent="0.15">
      <c r="A16" s="20" t="s">
        <v>14</v>
      </c>
      <c r="B16" s="20"/>
      <c r="C16" s="20"/>
      <c r="D16" s="20"/>
    </row>
    <row r="17" spans="1:4" x14ac:dyDescent="0.15">
      <c r="A17" t="s">
        <v>15</v>
      </c>
    </row>
    <row r="20" spans="1:4" ht="14.25" thickBot="1" x14ac:dyDescent="0.2">
      <c r="A20" t="s">
        <v>16</v>
      </c>
    </row>
    <row r="21" spans="1:4" ht="14.25" thickTop="1" x14ac:dyDescent="0.15">
      <c r="A21" s="2" t="s">
        <v>4</v>
      </c>
      <c r="B21" s="2" t="s">
        <v>5</v>
      </c>
      <c r="C21" s="2" t="s">
        <v>6</v>
      </c>
      <c r="D21" s="2" t="s">
        <v>7</v>
      </c>
    </row>
    <row r="22" spans="1:4" x14ac:dyDescent="0.15">
      <c r="A22" s="3">
        <v>1</v>
      </c>
      <c r="B22" s="4">
        <v>3</v>
      </c>
      <c r="C22" s="4">
        <f>A22+B22</f>
        <v>4</v>
      </c>
      <c r="D22" s="5" t="s">
        <v>9</v>
      </c>
    </row>
    <row r="23" spans="1:4" x14ac:dyDescent="0.15">
      <c r="A23" s="3">
        <v>3</v>
      </c>
      <c r="B23" s="4">
        <v>2</v>
      </c>
      <c r="C23" s="4">
        <f t="shared" ref="C23:C26" si="1">A23+B23</f>
        <v>5</v>
      </c>
      <c r="D23" s="5" t="s">
        <v>10</v>
      </c>
    </row>
    <row r="24" spans="1:4" x14ac:dyDescent="0.15">
      <c r="A24" s="3">
        <v>2</v>
      </c>
      <c r="B24" s="4">
        <v>1</v>
      </c>
      <c r="C24" s="4">
        <f t="shared" si="1"/>
        <v>3</v>
      </c>
      <c r="D24" s="5" t="s">
        <v>11</v>
      </c>
    </row>
    <row r="25" spans="1:4" x14ac:dyDescent="0.15">
      <c r="A25" s="3">
        <v>5</v>
      </c>
      <c r="B25" s="4">
        <v>3</v>
      </c>
      <c r="C25" s="4">
        <f t="shared" si="1"/>
        <v>8</v>
      </c>
      <c r="D25" s="5" t="s">
        <v>12</v>
      </c>
    </row>
    <row r="26" spans="1:4" x14ac:dyDescent="0.15">
      <c r="A26" s="6">
        <v>4</v>
      </c>
      <c r="B26" s="7">
        <v>4</v>
      </c>
      <c r="C26" s="7">
        <f t="shared" si="1"/>
        <v>8</v>
      </c>
      <c r="D26" s="8" t="s">
        <v>8</v>
      </c>
    </row>
    <row r="29" spans="1:4" x14ac:dyDescent="0.15">
      <c r="A29" t="s">
        <v>17</v>
      </c>
    </row>
    <row r="30" spans="1:4" x14ac:dyDescent="0.15">
      <c r="A30" t="s">
        <v>4</v>
      </c>
      <c r="B30" t="s">
        <v>5</v>
      </c>
      <c r="C30" t="s">
        <v>6</v>
      </c>
      <c r="D30" t="s">
        <v>7</v>
      </c>
    </row>
    <row r="31" spans="1:4" x14ac:dyDescent="0.15">
      <c r="A31">
        <v>1</v>
      </c>
      <c r="B31">
        <v>3</v>
      </c>
      <c r="C31">
        <f>表2_4[[#This Row],[第一列]]+表2_4[[#This Row],[第二列]]</f>
        <v>4</v>
      </c>
      <c r="D31" t="s">
        <v>9</v>
      </c>
    </row>
    <row r="32" spans="1:4" x14ac:dyDescent="0.15">
      <c r="A32">
        <v>3</v>
      </c>
      <c r="B32">
        <v>2</v>
      </c>
      <c r="C32">
        <f>表2_4[[#This Row],[第一列]]+表2_4[[#This Row],[第二列]]</f>
        <v>5</v>
      </c>
      <c r="D32" t="s">
        <v>10</v>
      </c>
    </row>
    <row r="33" spans="1:9" x14ac:dyDescent="0.15">
      <c r="A33">
        <v>2</v>
      </c>
      <c r="B33">
        <v>1</v>
      </c>
      <c r="C33">
        <f>表2_4[[#This Row],[第一列]]+表2_4[[#This Row],[第二列]]</f>
        <v>3</v>
      </c>
      <c r="D33" t="s">
        <v>11</v>
      </c>
    </row>
    <row r="34" spans="1:9" x14ac:dyDescent="0.15">
      <c r="A34">
        <v>5</v>
      </c>
      <c r="B34">
        <v>3</v>
      </c>
      <c r="C34">
        <f>表2_4[[#This Row],[第一列]]+表2_4[[#This Row],[第二列]]</f>
        <v>8</v>
      </c>
      <c r="D34" t="s">
        <v>12</v>
      </c>
    </row>
    <row r="35" spans="1:9" x14ac:dyDescent="0.15">
      <c r="A35">
        <v>4</v>
      </c>
      <c r="B35">
        <v>4</v>
      </c>
      <c r="C35">
        <f>表2_4[[#This Row],[第一列]]+表2_4[[#This Row],[第二列]]</f>
        <v>8</v>
      </c>
      <c r="D35" t="s">
        <v>8</v>
      </c>
    </row>
    <row r="38" spans="1:9" x14ac:dyDescent="0.15">
      <c r="A38" t="s">
        <v>38</v>
      </c>
    </row>
    <row r="39" spans="1:9" x14ac:dyDescent="0.1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</row>
    <row r="40" spans="1:9" x14ac:dyDescent="0.15">
      <c r="A40">
        <v>120104</v>
      </c>
      <c r="B40" t="s">
        <v>27</v>
      </c>
      <c r="C40" t="s">
        <v>28</v>
      </c>
      <c r="D40" t="str">
        <f>MID(A40,4,1)&amp;"班"</f>
        <v>1班</v>
      </c>
      <c r="E40">
        <v>98</v>
      </c>
      <c r="F40">
        <v>85</v>
      </c>
      <c r="G40">
        <v>56</v>
      </c>
      <c r="H40">
        <f>SUM(E40:G40)</f>
        <v>239</v>
      </c>
      <c r="I40">
        <f>AVERAGEA(E40:G40)</f>
        <v>79.666666666666671</v>
      </c>
    </row>
    <row r="41" spans="1:9" x14ac:dyDescent="0.15">
      <c r="A41">
        <v>120207</v>
      </c>
      <c r="B41" t="s">
        <v>27</v>
      </c>
      <c r="C41" t="s">
        <v>28</v>
      </c>
      <c r="D41" t="str">
        <f t="shared" ref="D41:D49" si="2">MID(A41,4,1)&amp;"班"</f>
        <v>2班</v>
      </c>
      <c r="E41">
        <v>94</v>
      </c>
      <c r="F41">
        <v>99</v>
      </c>
      <c r="G41">
        <v>58</v>
      </c>
      <c r="H41">
        <f t="shared" ref="H41:H49" si="3">SUM(E41:G41)</f>
        <v>251</v>
      </c>
      <c r="I41">
        <f t="shared" ref="I41:I49" si="4">AVERAGEA(E41:G41)</f>
        <v>83.666666666666671</v>
      </c>
    </row>
    <row r="42" spans="1:9" x14ac:dyDescent="0.15">
      <c r="A42">
        <v>120301</v>
      </c>
      <c r="B42" t="s">
        <v>29</v>
      </c>
      <c r="C42" t="s">
        <v>30</v>
      </c>
      <c r="D42" t="str">
        <f t="shared" si="2"/>
        <v>3班</v>
      </c>
      <c r="E42">
        <v>89</v>
      </c>
      <c r="F42">
        <v>94</v>
      </c>
      <c r="G42">
        <v>74</v>
      </c>
      <c r="H42">
        <f t="shared" si="3"/>
        <v>257</v>
      </c>
      <c r="I42">
        <f t="shared" si="4"/>
        <v>85.666666666666671</v>
      </c>
    </row>
    <row r="43" spans="1:9" x14ac:dyDescent="0.15">
      <c r="A43">
        <v>120203</v>
      </c>
      <c r="B43" t="s">
        <v>31</v>
      </c>
      <c r="C43" t="s">
        <v>28</v>
      </c>
      <c r="D43" t="str">
        <f t="shared" si="2"/>
        <v>2班</v>
      </c>
      <c r="E43">
        <v>78</v>
      </c>
      <c r="F43">
        <v>84</v>
      </c>
      <c r="G43">
        <v>97</v>
      </c>
      <c r="H43">
        <f t="shared" si="3"/>
        <v>259</v>
      </c>
      <c r="I43">
        <f t="shared" si="4"/>
        <v>86.333333333333329</v>
      </c>
    </row>
    <row r="44" spans="1:9" x14ac:dyDescent="0.15">
      <c r="A44">
        <v>120304</v>
      </c>
      <c r="B44" t="s">
        <v>32</v>
      </c>
      <c r="C44" t="s">
        <v>30</v>
      </c>
      <c r="D44" t="str">
        <f t="shared" si="2"/>
        <v>3班</v>
      </c>
      <c r="E44">
        <v>74</v>
      </c>
      <c r="F44">
        <v>78</v>
      </c>
      <c r="G44">
        <v>79</v>
      </c>
      <c r="H44">
        <f t="shared" si="3"/>
        <v>231</v>
      </c>
      <c r="I44">
        <f t="shared" si="4"/>
        <v>77</v>
      </c>
    </row>
    <row r="45" spans="1:9" x14ac:dyDescent="0.15">
      <c r="A45">
        <v>120208</v>
      </c>
      <c r="B45" t="s">
        <v>33</v>
      </c>
      <c r="C45" t="s">
        <v>30</v>
      </c>
      <c r="D45" t="str">
        <f t="shared" si="2"/>
        <v>2班</v>
      </c>
      <c r="E45">
        <v>54</v>
      </c>
      <c r="F45">
        <v>74</v>
      </c>
      <c r="G45">
        <v>95</v>
      </c>
      <c r="H45">
        <f t="shared" si="3"/>
        <v>223</v>
      </c>
      <c r="I45">
        <f t="shared" si="4"/>
        <v>74.333333333333329</v>
      </c>
    </row>
    <row r="46" spans="1:9" x14ac:dyDescent="0.15">
      <c r="A46">
        <v>120109</v>
      </c>
      <c r="B46" t="s">
        <v>34</v>
      </c>
      <c r="C46" t="s">
        <v>28</v>
      </c>
      <c r="D46" t="str">
        <f t="shared" si="2"/>
        <v>1班</v>
      </c>
      <c r="E46">
        <v>76</v>
      </c>
      <c r="F46">
        <v>64</v>
      </c>
      <c r="G46">
        <v>83</v>
      </c>
      <c r="H46">
        <f t="shared" si="3"/>
        <v>223</v>
      </c>
      <c r="I46">
        <f t="shared" si="4"/>
        <v>74.333333333333329</v>
      </c>
    </row>
    <row r="47" spans="1:9" x14ac:dyDescent="0.15">
      <c r="A47">
        <v>120303</v>
      </c>
      <c r="B47" t="s">
        <v>35</v>
      </c>
      <c r="C47" t="s">
        <v>30</v>
      </c>
      <c r="D47" t="str">
        <f t="shared" si="2"/>
        <v>3班</v>
      </c>
      <c r="E47">
        <v>55</v>
      </c>
      <c r="F47">
        <v>83</v>
      </c>
      <c r="G47">
        <v>58</v>
      </c>
      <c r="H47">
        <f t="shared" si="3"/>
        <v>196</v>
      </c>
      <c r="I47">
        <f t="shared" si="4"/>
        <v>65.333333333333329</v>
      </c>
    </row>
    <row r="48" spans="1:9" x14ac:dyDescent="0.15">
      <c r="A48">
        <v>120304</v>
      </c>
      <c r="B48" t="s">
        <v>36</v>
      </c>
      <c r="C48" t="s">
        <v>30</v>
      </c>
      <c r="D48" t="str">
        <f t="shared" si="2"/>
        <v>3班</v>
      </c>
      <c r="E48">
        <v>93</v>
      </c>
      <c r="F48">
        <v>85</v>
      </c>
      <c r="G48">
        <v>95</v>
      </c>
      <c r="H48">
        <f t="shared" si="3"/>
        <v>273</v>
      </c>
      <c r="I48">
        <f t="shared" si="4"/>
        <v>91</v>
      </c>
    </row>
    <row r="49" spans="1:9" x14ac:dyDescent="0.15">
      <c r="A49">
        <v>120105</v>
      </c>
      <c r="B49" t="s">
        <v>37</v>
      </c>
      <c r="C49" t="s">
        <v>28</v>
      </c>
      <c r="D49" t="str">
        <f t="shared" si="2"/>
        <v>1班</v>
      </c>
      <c r="E49">
        <v>78</v>
      </c>
      <c r="F49">
        <v>95</v>
      </c>
      <c r="G49">
        <v>64</v>
      </c>
      <c r="H49">
        <f t="shared" si="3"/>
        <v>237</v>
      </c>
      <c r="I49">
        <f t="shared" si="4"/>
        <v>79</v>
      </c>
    </row>
    <row r="52" spans="1:9" x14ac:dyDescent="0.15">
      <c r="A52" t="s">
        <v>40</v>
      </c>
    </row>
    <row r="55" spans="1:9" x14ac:dyDescent="0.15">
      <c r="A55" t="s">
        <v>39</v>
      </c>
    </row>
    <row r="56" spans="1:9" x14ac:dyDescent="0.15">
      <c r="A56" t="s">
        <v>63</v>
      </c>
    </row>
    <row r="57" spans="1:9" x14ac:dyDescent="0.1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</row>
    <row r="58" spans="1:9" x14ac:dyDescent="0.15">
      <c r="A58">
        <v>120104</v>
      </c>
      <c r="B58" t="s">
        <v>27</v>
      </c>
      <c r="C58" t="s">
        <v>28</v>
      </c>
      <c r="D58" t="str">
        <f t="shared" ref="D58:D67" si="5">MID(A58,4,1)&amp;"班"</f>
        <v>1班</v>
      </c>
      <c r="E58">
        <v>98</v>
      </c>
      <c r="F58">
        <v>85</v>
      </c>
      <c r="G58">
        <v>56</v>
      </c>
      <c r="H58">
        <f t="shared" ref="H58:H67" si="6">SUM(E58:G58)</f>
        <v>239</v>
      </c>
      <c r="I58">
        <f t="shared" ref="I58:I67" si="7">AVERAGEA(E58:G58)</f>
        <v>79.666666666666671</v>
      </c>
    </row>
    <row r="59" spans="1:9" x14ac:dyDescent="0.15">
      <c r="A59">
        <v>120207</v>
      </c>
      <c r="B59" t="s">
        <v>27</v>
      </c>
      <c r="C59" t="s">
        <v>28</v>
      </c>
      <c r="D59" t="str">
        <f t="shared" si="5"/>
        <v>2班</v>
      </c>
      <c r="E59">
        <v>94</v>
      </c>
      <c r="F59">
        <v>99</v>
      </c>
      <c r="G59">
        <v>58</v>
      </c>
      <c r="H59">
        <f t="shared" si="6"/>
        <v>251</v>
      </c>
      <c r="I59">
        <f t="shared" si="7"/>
        <v>83.666666666666671</v>
      </c>
    </row>
    <row r="60" spans="1:9" x14ac:dyDescent="0.15">
      <c r="A60">
        <v>120203</v>
      </c>
      <c r="B60" t="s">
        <v>31</v>
      </c>
      <c r="C60" t="s">
        <v>28</v>
      </c>
      <c r="D60" t="str">
        <f t="shared" si="5"/>
        <v>2班</v>
      </c>
      <c r="E60">
        <v>76</v>
      </c>
      <c r="F60">
        <v>84</v>
      </c>
      <c r="G60">
        <v>97</v>
      </c>
      <c r="H60">
        <f t="shared" si="6"/>
        <v>257</v>
      </c>
      <c r="I60">
        <f t="shared" si="7"/>
        <v>85.666666666666671</v>
      </c>
    </row>
    <row r="61" spans="1:9" x14ac:dyDescent="0.15">
      <c r="A61">
        <v>120109</v>
      </c>
      <c r="B61" t="s">
        <v>34</v>
      </c>
      <c r="C61" t="s">
        <v>28</v>
      </c>
      <c r="D61" t="str">
        <f t="shared" si="5"/>
        <v>1班</v>
      </c>
      <c r="E61">
        <v>76</v>
      </c>
      <c r="F61">
        <v>64</v>
      </c>
      <c r="G61">
        <v>83</v>
      </c>
      <c r="H61">
        <f t="shared" si="6"/>
        <v>223</v>
      </c>
      <c r="I61">
        <f t="shared" si="7"/>
        <v>74.333333333333329</v>
      </c>
    </row>
    <row r="62" spans="1:9" x14ac:dyDescent="0.15">
      <c r="A62">
        <v>120105</v>
      </c>
      <c r="B62" t="s">
        <v>37</v>
      </c>
      <c r="C62" t="s">
        <v>28</v>
      </c>
      <c r="D62" t="str">
        <f t="shared" si="5"/>
        <v>1班</v>
      </c>
      <c r="E62">
        <v>78</v>
      </c>
      <c r="F62">
        <v>95</v>
      </c>
      <c r="G62">
        <v>64</v>
      </c>
      <c r="H62">
        <f t="shared" si="6"/>
        <v>237</v>
      </c>
      <c r="I62">
        <f t="shared" si="7"/>
        <v>79</v>
      </c>
    </row>
    <row r="63" spans="1:9" x14ac:dyDescent="0.15">
      <c r="A63">
        <v>120301</v>
      </c>
      <c r="B63" t="s">
        <v>29</v>
      </c>
      <c r="C63" t="s">
        <v>30</v>
      </c>
      <c r="D63" t="str">
        <f t="shared" si="5"/>
        <v>3班</v>
      </c>
      <c r="E63">
        <v>89</v>
      </c>
      <c r="F63">
        <v>94</v>
      </c>
      <c r="G63">
        <v>74</v>
      </c>
      <c r="H63">
        <f t="shared" si="6"/>
        <v>257</v>
      </c>
      <c r="I63">
        <f t="shared" si="7"/>
        <v>85.666666666666671</v>
      </c>
    </row>
    <row r="64" spans="1:9" x14ac:dyDescent="0.15">
      <c r="A64">
        <v>120304</v>
      </c>
      <c r="B64" t="s">
        <v>32</v>
      </c>
      <c r="C64" t="s">
        <v>30</v>
      </c>
      <c r="D64" t="str">
        <f t="shared" si="5"/>
        <v>3班</v>
      </c>
      <c r="E64">
        <v>74</v>
      </c>
      <c r="F64">
        <v>78</v>
      </c>
      <c r="G64">
        <v>79</v>
      </c>
      <c r="H64">
        <f t="shared" si="6"/>
        <v>231</v>
      </c>
      <c r="I64">
        <f t="shared" si="7"/>
        <v>77</v>
      </c>
    </row>
    <row r="65" spans="1:9" x14ac:dyDescent="0.15">
      <c r="A65">
        <v>120208</v>
      </c>
      <c r="B65" t="s">
        <v>33</v>
      </c>
      <c r="C65" t="s">
        <v>30</v>
      </c>
      <c r="D65" t="str">
        <f t="shared" si="5"/>
        <v>2班</v>
      </c>
      <c r="E65">
        <v>54</v>
      </c>
      <c r="F65">
        <v>74</v>
      </c>
      <c r="G65">
        <v>95</v>
      </c>
      <c r="H65">
        <f t="shared" si="6"/>
        <v>223</v>
      </c>
      <c r="I65">
        <f t="shared" si="7"/>
        <v>74.333333333333329</v>
      </c>
    </row>
    <row r="66" spans="1:9" x14ac:dyDescent="0.15">
      <c r="A66">
        <v>120303</v>
      </c>
      <c r="B66" t="s">
        <v>35</v>
      </c>
      <c r="C66" t="s">
        <v>30</v>
      </c>
      <c r="D66" t="str">
        <f t="shared" si="5"/>
        <v>3班</v>
      </c>
      <c r="E66">
        <v>55</v>
      </c>
      <c r="F66">
        <v>83</v>
      </c>
      <c r="G66">
        <v>58</v>
      </c>
      <c r="H66">
        <f t="shared" si="6"/>
        <v>196</v>
      </c>
      <c r="I66">
        <f t="shared" si="7"/>
        <v>65.333333333333329</v>
      </c>
    </row>
    <row r="67" spans="1:9" x14ac:dyDescent="0.15">
      <c r="A67">
        <v>120304</v>
      </c>
      <c r="B67" t="s">
        <v>36</v>
      </c>
      <c r="C67" t="s">
        <v>30</v>
      </c>
      <c r="D67" t="str">
        <f t="shared" si="5"/>
        <v>3班</v>
      </c>
      <c r="E67">
        <v>93</v>
      </c>
      <c r="F67">
        <v>85</v>
      </c>
      <c r="G67">
        <v>95</v>
      </c>
      <c r="H67">
        <f t="shared" si="6"/>
        <v>273</v>
      </c>
      <c r="I67">
        <f t="shared" si="7"/>
        <v>91</v>
      </c>
    </row>
    <row r="70" spans="1:9" x14ac:dyDescent="0.15">
      <c r="A70" t="s">
        <v>95</v>
      </c>
    </row>
    <row r="71" spans="1:9" x14ac:dyDescent="0.15">
      <c r="A71" t="s">
        <v>64</v>
      </c>
      <c r="B71" t="s">
        <v>65</v>
      </c>
      <c r="C71" t="s">
        <v>66</v>
      </c>
      <c r="D71" t="s">
        <v>67</v>
      </c>
      <c r="E71" t="s">
        <v>68</v>
      </c>
      <c r="F71" t="s">
        <v>69</v>
      </c>
    </row>
    <row r="72" spans="1:9" outlineLevel="2" x14ac:dyDescent="0.15">
      <c r="A72" t="s">
        <v>70</v>
      </c>
      <c r="B72" t="s">
        <v>79</v>
      </c>
      <c r="C72">
        <v>23</v>
      </c>
      <c r="D72" t="s">
        <v>83</v>
      </c>
      <c r="E72" t="s">
        <v>88</v>
      </c>
      <c r="F72">
        <v>4200</v>
      </c>
    </row>
    <row r="73" spans="1:9" outlineLevel="2" x14ac:dyDescent="0.15">
      <c r="A73" t="s">
        <v>71</v>
      </c>
      <c r="B73" t="s">
        <v>80</v>
      </c>
      <c r="C73">
        <v>25</v>
      </c>
      <c r="D73" t="s">
        <v>83</v>
      </c>
      <c r="E73" t="s">
        <v>88</v>
      </c>
      <c r="F73">
        <v>4400</v>
      </c>
    </row>
    <row r="74" spans="1:9" outlineLevel="2" x14ac:dyDescent="0.15">
      <c r="A74" t="s">
        <v>74</v>
      </c>
      <c r="B74" t="s">
        <v>80</v>
      </c>
      <c r="C74">
        <v>27</v>
      </c>
      <c r="D74" t="s">
        <v>83</v>
      </c>
      <c r="E74" t="s">
        <v>90</v>
      </c>
      <c r="F74">
        <v>4300</v>
      </c>
    </row>
    <row r="75" spans="1:9" outlineLevel="2" x14ac:dyDescent="0.15">
      <c r="A75" t="s">
        <v>75</v>
      </c>
      <c r="B75" t="s">
        <v>81</v>
      </c>
      <c r="C75">
        <v>41</v>
      </c>
      <c r="D75" t="s">
        <v>83</v>
      </c>
      <c r="E75" t="s">
        <v>88</v>
      </c>
      <c r="F75">
        <v>4800</v>
      </c>
    </row>
    <row r="76" spans="1:9" outlineLevel="1" x14ac:dyDescent="0.15">
      <c r="D76" s="9" t="s">
        <v>92</v>
      </c>
      <c r="F76">
        <f>SUBTOTAL(1,F72:F75)</f>
        <v>4425</v>
      </c>
    </row>
    <row r="77" spans="1:9" outlineLevel="2" x14ac:dyDescent="0.15">
      <c r="A77" t="s">
        <v>72</v>
      </c>
      <c r="B77" t="s">
        <v>80</v>
      </c>
      <c r="C77">
        <v>23</v>
      </c>
      <c r="D77" t="s">
        <v>85</v>
      </c>
      <c r="E77" t="s">
        <v>90</v>
      </c>
      <c r="F77">
        <v>4100</v>
      </c>
    </row>
    <row r="78" spans="1:9" outlineLevel="2" x14ac:dyDescent="0.15">
      <c r="A78" t="s">
        <v>73</v>
      </c>
      <c r="B78" t="s">
        <v>79</v>
      </c>
      <c r="C78">
        <v>26</v>
      </c>
      <c r="D78" t="s">
        <v>86</v>
      </c>
      <c r="E78" t="s">
        <v>90</v>
      </c>
      <c r="F78">
        <v>4500</v>
      </c>
    </row>
    <row r="79" spans="1:9" outlineLevel="2" x14ac:dyDescent="0.15">
      <c r="A79" t="s">
        <v>76</v>
      </c>
      <c r="B79" t="s">
        <v>79</v>
      </c>
      <c r="C79">
        <v>26</v>
      </c>
      <c r="D79" t="s">
        <v>85</v>
      </c>
      <c r="E79" t="s">
        <v>90</v>
      </c>
      <c r="F79">
        <v>4500</v>
      </c>
    </row>
    <row r="80" spans="1:9" outlineLevel="2" x14ac:dyDescent="0.15">
      <c r="A80" t="s">
        <v>77</v>
      </c>
      <c r="B80" t="s">
        <v>81</v>
      </c>
      <c r="C80">
        <v>21</v>
      </c>
      <c r="D80" t="s">
        <v>85</v>
      </c>
      <c r="E80" t="s">
        <v>90</v>
      </c>
      <c r="F80">
        <v>4700</v>
      </c>
    </row>
    <row r="81" spans="1:10" outlineLevel="2" x14ac:dyDescent="0.15">
      <c r="A81" t="s">
        <v>78</v>
      </c>
      <c r="B81" t="s">
        <v>80</v>
      </c>
      <c r="C81">
        <v>22</v>
      </c>
      <c r="D81" t="s">
        <v>85</v>
      </c>
      <c r="E81" t="s">
        <v>88</v>
      </c>
      <c r="F81">
        <v>4100</v>
      </c>
    </row>
    <row r="82" spans="1:10" outlineLevel="1" x14ac:dyDescent="0.15">
      <c r="D82" s="9" t="s">
        <v>93</v>
      </c>
      <c r="F82">
        <f>SUBTOTAL(1,F77:F81)</f>
        <v>4380</v>
      </c>
    </row>
    <row r="83" spans="1:10" x14ac:dyDescent="0.15">
      <c r="D83" s="9" t="s">
        <v>94</v>
      </c>
      <c r="F83">
        <f>SUBTOTAL(1,F72:F81)</f>
        <v>4400</v>
      </c>
    </row>
    <row r="86" spans="1:10" x14ac:dyDescent="0.15">
      <c r="A86" t="s">
        <v>96</v>
      </c>
    </row>
    <row r="87" spans="1:10" x14ac:dyDescent="0.15">
      <c r="A87" t="s">
        <v>97</v>
      </c>
      <c r="B87" t="s">
        <v>67</v>
      </c>
      <c r="C87" t="s">
        <v>68</v>
      </c>
    </row>
    <row r="88" spans="1:10" x14ac:dyDescent="0.15">
      <c r="A88" t="s">
        <v>98</v>
      </c>
      <c r="B88" t="s">
        <v>82</v>
      </c>
      <c r="C88" t="s">
        <v>87</v>
      </c>
    </row>
    <row r="89" spans="1:10" x14ac:dyDescent="0.15">
      <c r="A89" t="s">
        <v>99</v>
      </c>
      <c r="B89" t="s">
        <v>84</v>
      </c>
      <c r="C89" t="s">
        <v>89</v>
      </c>
    </row>
    <row r="90" spans="1:10" x14ac:dyDescent="0.15">
      <c r="A90" t="s">
        <v>100</v>
      </c>
      <c r="B90" t="s">
        <v>82</v>
      </c>
      <c r="C90" t="s">
        <v>87</v>
      </c>
    </row>
    <row r="91" spans="1:10" x14ac:dyDescent="0.15">
      <c r="A91" t="s">
        <v>101</v>
      </c>
      <c r="B91" t="s">
        <v>82</v>
      </c>
      <c r="C91" t="s">
        <v>87</v>
      </c>
    </row>
    <row r="92" spans="1:10" x14ac:dyDescent="0.15">
      <c r="A92" t="s">
        <v>102</v>
      </c>
      <c r="B92" t="s">
        <v>84</v>
      </c>
      <c r="C92" t="s">
        <v>89</v>
      </c>
    </row>
    <row r="95" spans="1:10" x14ac:dyDescent="0.15">
      <c r="A95" t="s">
        <v>103</v>
      </c>
    </row>
    <row r="96" spans="1:10" x14ac:dyDescent="0.15">
      <c r="A96" t="s">
        <v>18</v>
      </c>
      <c r="B96" t="s">
        <v>19</v>
      </c>
      <c r="C96" t="s">
        <v>20</v>
      </c>
      <c r="D96" t="s">
        <v>66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</row>
    <row r="97" spans="1:10" x14ac:dyDescent="0.15">
      <c r="A97">
        <v>120104</v>
      </c>
      <c r="B97" t="s">
        <v>27</v>
      </c>
      <c r="C97" t="s">
        <v>28</v>
      </c>
      <c r="D97">
        <v>21</v>
      </c>
      <c r="E97" t="str">
        <f t="shared" ref="E97:E106" si="8">MID(A97,4,1)&amp;"班"</f>
        <v>1班</v>
      </c>
      <c r="F97">
        <v>98</v>
      </c>
      <c r="G97">
        <v>85</v>
      </c>
      <c r="H97">
        <v>56</v>
      </c>
      <c r="I97">
        <f t="shared" ref="I97:I106" si="9">SUM(F97:H97)</f>
        <v>239</v>
      </c>
      <c r="J97">
        <f t="shared" ref="J97:J106" si="10">AVERAGEA(F97:H97)</f>
        <v>79.666666666666671</v>
      </c>
    </row>
    <row r="98" spans="1:10" x14ac:dyDescent="0.15">
      <c r="A98">
        <v>120207</v>
      </c>
      <c r="B98" t="s">
        <v>27</v>
      </c>
      <c r="C98" t="s">
        <v>28</v>
      </c>
      <c r="D98">
        <v>24</v>
      </c>
      <c r="E98" t="str">
        <f t="shared" si="8"/>
        <v>2班</v>
      </c>
      <c r="F98">
        <v>94</v>
      </c>
      <c r="G98">
        <v>99</v>
      </c>
      <c r="H98">
        <v>58</v>
      </c>
      <c r="I98">
        <f t="shared" si="9"/>
        <v>251</v>
      </c>
      <c r="J98">
        <f t="shared" si="10"/>
        <v>83.666666666666671</v>
      </c>
    </row>
    <row r="99" spans="1:10" x14ac:dyDescent="0.15">
      <c r="A99">
        <v>120203</v>
      </c>
      <c r="B99" t="s">
        <v>31</v>
      </c>
      <c r="C99" t="s">
        <v>28</v>
      </c>
      <c r="D99">
        <v>23</v>
      </c>
      <c r="E99" t="str">
        <f t="shared" si="8"/>
        <v>2班</v>
      </c>
      <c r="F99">
        <v>76</v>
      </c>
      <c r="G99">
        <v>84</v>
      </c>
      <c r="H99">
        <v>97</v>
      </c>
      <c r="I99">
        <f t="shared" si="9"/>
        <v>257</v>
      </c>
      <c r="J99">
        <f t="shared" si="10"/>
        <v>85.666666666666671</v>
      </c>
    </row>
    <row r="100" spans="1:10" x14ac:dyDescent="0.15">
      <c r="A100">
        <v>120109</v>
      </c>
      <c r="B100" t="s">
        <v>34</v>
      </c>
      <c r="C100" t="s">
        <v>28</v>
      </c>
      <c r="D100">
        <v>26</v>
      </c>
      <c r="E100" t="str">
        <f t="shared" si="8"/>
        <v>1班</v>
      </c>
      <c r="F100">
        <v>76</v>
      </c>
      <c r="G100">
        <v>64</v>
      </c>
      <c r="H100">
        <v>83</v>
      </c>
      <c r="I100">
        <f t="shared" si="9"/>
        <v>223</v>
      </c>
      <c r="J100">
        <f t="shared" si="10"/>
        <v>74.333333333333329</v>
      </c>
    </row>
    <row r="101" spans="1:10" x14ac:dyDescent="0.15">
      <c r="A101">
        <v>120105</v>
      </c>
      <c r="B101" t="s">
        <v>37</v>
      </c>
      <c r="C101" t="s">
        <v>28</v>
      </c>
      <c r="D101">
        <v>16</v>
      </c>
      <c r="E101" t="str">
        <f t="shared" si="8"/>
        <v>1班</v>
      </c>
      <c r="F101">
        <v>78</v>
      </c>
      <c r="G101">
        <v>95</v>
      </c>
      <c r="H101">
        <v>64</v>
      </c>
      <c r="I101">
        <f t="shared" si="9"/>
        <v>237</v>
      </c>
      <c r="J101">
        <f t="shared" si="10"/>
        <v>79</v>
      </c>
    </row>
    <row r="102" spans="1:10" x14ac:dyDescent="0.15">
      <c r="A102">
        <v>120301</v>
      </c>
      <c r="B102" t="s">
        <v>29</v>
      </c>
      <c r="C102" t="s">
        <v>30</v>
      </c>
      <c r="D102">
        <v>23</v>
      </c>
      <c r="E102" t="str">
        <f t="shared" si="8"/>
        <v>3班</v>
      </c>
      <c r="F102">
        <v>89</v>
      </c>
      <c r="G102">
        <v>94</v>
      </c>
      <c r="H102">
        <v>74</v>
      </c>
      <c r="I102">
        <f t="shared" si="9"/>
        <v>257</v>
      </c>
      <c r="J102">
        <f t="shared" si="10"/>
        <v>85.666666666666671</v>
      </c>
    </row>
    <row r="103" spans="1:10" x14ac:dyDescent="0.15">
      <c r="A103">
        <v>120304</v>
      </c>
      <c r="B103" t="s">
        <v>32</v>
      </c>
      <c r="C103" t="s">
        <v>30</v>
      </c>
      <c r="D103">
        <v>25</v>
      </c>
      <c r="E103" t="str">
        <f t="shared" si="8"/>
        <v>3班</v>
      </c>
      <c r="F103">
        <v>74</v>
      </c>
      <c r="G103">
        <v>78</v>
      </c>
      <c r="H103">
        <v>79</v>
      </c>
      <c r="I103">
        <f t="shared" si="9"/>
        <v>231</v>
      </c>
      <c r="J103">
        <f t="shared" si="10"/>
        <v>77</v>
      </c>
    </row>
    <row r="104" spans="1:10" x14ac:dyDescent="0.15">
      <c r="A104">
        <v>120208</v>
      </c>
      <c r="B104" t="s">
        <v>33</v>
      </c>
      <c r="C104" t="s">
        <v>30</v>
      </c>
      <c r="D104">
        <v>26</v>
      </c>
      <c r="E104" t="str">
        <f t="shared" si="8"/>
        <v>2班</v>
      </c>
      <c r="F104">
        <v>54</v>
      </c>
      <c r="G104">
        <v>74</v>
      </c>
      <c r="H104">
        <v>95</v>
      </c>
      <c r="I104">
        <f t="shared" si="9"/>
        <v>223</v>
      </c>
      <c r="J104">
        <f t="shared" si="10"/>
        <v>74.333333333333329</v>
      </c>
    </row>
    <row r="105" spans="1:10" x14ac:dyDescent="0.15">
      <c r="A105">
        <v>120303</v>
      </c>
      <c r="B105" t="s">
        <v>35</v>
      </c>
      <c r="C105" t="s">
        <v>30</v>
      </c>
      <c r="D105">
        <v>23</v>
      </c>
      <c r="E105" t="str">
        <f t="shared" si="8"/>
        <v>3班</v>
      </c>
      <c r="F105">
        <v>55</v>
      </c>
      <c r="G105">
        <v>83</v>
      </c>
      <c r="H105">
        <v>58</v>
      </c>
      <c r="I105">
        <f t="shared" si="9"/>
        <v>196</v>
      </c>
      <c r="J105">
        <f t="shared" si="10"/>
        <v>65.333333333333329</v>
      </c>
    </row>
    <row r="106" spans="1:10" x14ac:dyDescent="0.15">
      <c r="A106">
        <v>120304</v>
      </c>
      <c r="B106" t="s">
        <v>36</v>
      </c>
      <c r="C106" t="s">
        <v>30</v>
      </c>
      <c r="D106">
        <v>21</v>
      </c>
      <c r="E106" t="str">
        <f t="shared" si="8"/>
        <v>3班</v>
      </c>
      <c r="F106">
        <v>93</v>
      </c>
      <c r="G106">
        <v>85</v>
      </c>
      <c r="H106">
        <v>95</v>
      </c>
      <c r="I106">
        <f t="shared" si="9"/>
        <v>273</v>
      </c>
      <c r="J106">
        <f t="shared" si="10"/>
        <v>91</v>
      </c>
    </row>
    <row r="109" spans="1:10" x14ac:dyDescent="0.15">
      <c r="A109" t="s">
        <v>110</v>
      </c>
    </row>
    <row r="110" spans="1:10" x14ac:dyDescent="0.15">
      <c r="A110" t="s">
        <v>111</v>
      </c>
      <c r="B110" t="s">
        <v>112</v>
      </c>
      <c r="C110" t="s">
        <v>113</v>
      </c>
      <c r="D110" t="s">
        <v>114</v>
      </c>
    </row>
    <row r="111" spans="1:10" x14ac:dyDescent="0.15">
      <c r="A111">
        <v>3</v>
      </c>
      <c r="B111">
        <v>5</v>
      </c>
      <c r="C111">
        <f>A111+B111</f>
        <v>8</v>
      </c>
      <c r="D111">
        <f>A$111+B$111</f>
        <v>8</v>
      </c>
    </row>
    <row r="112" spans="1:10" x14ac:dyDescent="0.15">
      <c r="A112">
        <v>2</v>
      </c>
      <c r="B112">
        <v>6</v>
      </c>
      <c r="C112">
        <f t="shared" ref="C112:C115" si="11">A112+B112</f>
        <v>8</v>
      </c>
      <c r="D112">
        <f t="shared" ref="D112:D115" si="12">A$111+B$111</f>
        <v>8</v>
      </c>
    </row>
    <row r="113" spans="1:8" x14ac:dyDescent="0.15">
      <c r="A113">
        <v>4</v>
      </c>
      <c r="B113">
        <v>5</v>
      </c>
      <c r="C113">
        <f t="shared" si="11"/>
        <v>9</v>
      </c>
      <c r="D113">
        <f t="shared" si="12"/>
        <v>8</v>
      </c>
    </row>
    <row r="114" spans="1:8" x14ac:dyDescent="0.15">
      <c r="A114">
        <v>2</v>
      </c>
      <c r="B114">
        <v>7</v>
      </c>
      <c r="C114">
        <f t="shared" si="11"/>
        <v>9</v>
      </c>
      <c r="D114">
        <f t="shared" si="12"/>
        <v>8</v>
      </c>
    </row>
    <row r="115" spans="1:8" x14ac:dyDescent="0.15">
      <c r="A115">
        <v>4</v>
      </c>
      <c r="B115">
        <v>8</v>
      </c>
      <c r="C115">
        <f t="shared" si="11"/>
        <v>12</v>
      </c>
      <c r="D115">
        <f t="shared" si="12"/>
        <v>8</v>
      </c>
    </row>
    <row r="118" spans="1:8" x14ac:dyDescent="0.15">
      <c r="A118" t="s">
        <v>145</v>
      </c>
    </row>
    <row r="119" spans="1:8" x14ac:dyDescent="0.15">
      <c r="A119" t="s">
        <v>111</v>
      </c>
      <c r="B119" t="s">
        <v>112</v>
      </c>
      <c r="C119" t="s">
        <v>125</v>
      </c>
      <c r="D119" t="s">
        <v>128</v>
      </c>
      <c r="E119" t="s">
        <v>131</v>
      </c>
      <c r="F119" t="s">
        <v>138</v>
      </c>
      <c r="G119" t="s">
        <v>141</v>
      </c>
      <c r="H119" t="s">
        <v>140</v>
      </c>
    </row>
    <row r="120" spans="1:8" x14ac:dyDescent="0.15">
      <c r="A120">
        <v>3</v>
      </c>
      <c r="B120">
        <v>5</v>
      </c>
      <c r="C120" s="14">
        <v>5.3029999999999999</v>
      </c>
      <c r="D120">
        <v>50</v>
      </c>
      <c r="E120" t="s">
        <v>132</v>
      </c>
      <c r="F120">
        <v>24</v>
      </c>
      <c r="G120">
        <v>101</v>
      </c>
      <c r="H120" t="s">
        <v>142</v>
      </c>
    </row>
    <row r="121" spans="1:8" x14ac:dyDescent="0.15">
      <c r="A121">
        <v>2</v>
      </c>
      <c r="B121">
        <v>6</v>
      </c>
      <c r="C121" s="14">
        <v>5.7329999999999997</v>
      </c>
      <c r="D121">
        <v>74</v>
      </c>
      <c r="E121" t="s">
        <v>133</v>
      </c>
      <c r="F121">
        <v>21</v>
      </c>
      <c r="G121">
        <v>102</v>
      </c>
      <c r="H121" s="14" t="s">
        <v>99</v>
      </c>
    </row>
    <row r="122" spans="1:8" x14ac:dyDescent="0.15">
      <c r="A122">
        <v>4</v>
      </c>
      <c r="B122">
        <v>5</v>
      </c>
      <c r="C122" s="14">
        <v>5.8230000000000004</v>
      </c>
      <c r="D122">
        <v>88</v>
      </c>
      <c r="E122" t="s">
        <v>132</v>
      </c>
      <c r="F122">
        <v>15</v>
      </c>
      <c r="G122">
        <v>103</v>
      </c>
      <c r="H122" s="14" t="s">
        <v>164</v>
      </c>
    </row>
    <row r="123" spans="1:8" x14ac:dyDescent="0.15">
      <c r="A123">
        <v>2.5</v>
      </c>
      <c r="B123">
        <v>7</v>
      </c>
      <c r="C123" s="14">
        <v>5.39</v>
      </c>
      <c r="D123">
        <v>70</v>
      </c>
      <c r="E123" t="s">
        <v>133</v>
      </c>
      <c r="F123">
        <v>16</v>
      </c>
      <c r="H123" t="s">
        <v>193</v>
      </c>
    </row>
    <row r="124" spans="1:8" x14ac:dyDescent="0.15">
      <c r="A124">
        <v>-4</v>
      </c>
      <c r="B124">
        <v>8</v>
      </c>
      <c r="C124">
        <v>5.8887999999999998</v>
      </c>
      <c r="D124">
        <v>53</v>
      </c>
      <c r="E124" t="s">
        <v>132</v>
      </c>
      <c r="F124">
        <v>17</v>
      </c>
      <c r="G124" s="14"/>
      <c r="H124" t="s">
        <v>160</v>
      </c>
    </row>
    <row r="125" spans="1:8" s="14" customFormat="1" x14ac:dyDescent="0.15">
      <c r="H125" s="14" t="s">
        <v>163</v>
      </c>
    </row>
    <row r="126" spans="1:8" s="14" customFormat="1" x14ac:dyDescent="0.15">
      <c r="H126" s="14">
        <v>20191022</v>
      </c>
    </row>
    <row r="127" spans="1:8" x14ac:dyDescent="0.15">
      <c r="A127" s="14" t="s">
        <v>115</v>
      </c>
      <c r="B127">
        <f>SUM(A120:B124)</f>
        <v>38.5</v>
      </c>
    </row>
    <row r="128" spans="1:8" s="14" customFormat="1" x14ac:dyDescent="0.15">
      <c r="A128" s="14" t="s">
        <v>116</v>
      </c>
      <c r="B128" s="14">
        <f>AVERAGE(A120:B124)</f>
        <v>3.85</v>
      </c>
    </row>
    <row r="129" spans="1:3" x14ac:dyDescent="0.15">
      <c r="A129" s="14" t="s">
        <v>117</v>
      </c>
      <c r="B129">
        <f>COUNT(A120:B124)</f>
        <v>10</v>
      </c>
    </row>
    <row r="130" spans="1:3" s="14" customFormat="1" x14ac:dyDescent="0.15">
      <c r="A130" s="14" t="s">
        <v>190</v>
      </c>
      <c r="B130" s="14">
        <f>COUNTA(A120:A125)</f>
        <v>5</v>
      </c>
    </row>
    <row r="131" spans="1:3" x14ac:dyDescent="0.15">
      <c r="A131" t="s">
        <v>124</v>
      </c>
      <c r="B131">
        <f>MAX(A120:B124)</f>
        <v>8</v>
      </c>
    </row>
    <row r="132" spans="1:3" x14ac:dyDescent="0.15">
      <c r="A132" s="14" t="s">
        <v>118</v>
      </c>
      <c r="B132">
        <f>MIN(A120:B124)</f>
        <v>-4</v>
      </c>
    </row>
    <row r="133" spans="1:3" x14ac:dyDescent="0.15">
      <c r="A133" s="14" t="s">
        <v>119</v>
      </c>
      <c r="B133">
        <f>LARGE(A120:B124,2)</f>
        <v>7</v>
      </c>
    </row>
    <row r="134" spans="1:3" x14ac:dyDescent="0.15">
      <c r="A134" s="14" t="s">
        <v>120</v>
      </c>
      <c r="B134">
        <f>SMALL(A120:B124,2)</f>
        <v>2</v>
      </c>
    </row>
    <row r="135" spans="1:3" x14ac:dyDescent="0.15">
      <c r="A135" s="14" t="s">
        <v>121</v>
      </c>
      <c r="B135">
        <f>ABS(A124)</f>
        <v>4</v>
      </c>
    </row>
    <row r="136" spans="1:3" x14ac:dyDescent="0.15">
      <c r="A136" s="14" t="s">
        <v>122</v>
      </c>
      <c r="B136">
        <f>ROUND(A123,1)</f>
        <v>2.5</v>
      </c>
    </row>
    <row r="137" spans="1:3" x14ac:dyDescent="0.15">
      <c r="A137" s="14" t="s">
        <v>123</v>
      </c>
      <c r="B137">
        <f>TRUNC(A123,0)</f>
        <v>2</v>
      </c>
    </row>
    <row r="138" spans="1:3" s="14" customFormat="1" x14ac:dyDescent="0.15">
      <c r="A138" s="14" t="s">
        <v>191</v>
      </c>
      <c r="B138" s="14">
        <f>INT(A123)</f>
        <v>2</v>
      </c>
    </row>
    <row r="139" spans="1:3" s="14" customFormat="1" x14ac:dyDescent="0.15">
      <c r="A139" s="14" t="s">
        <v>192</v>
      </c>
      <c r="B139" s="14">
        <f>ROUNDUP(A123, 0)</f>
        <v>3</v>
      </c>
    </row>
    <row r="140" spans="1:3" x14ac:dyDescent="0.15">
      <c r="A140" t="s">
        <v>126</v>
      </c>
      <c r="B140" t="b">
        <f>OR(D120&gt;60,D121&gt;60)</f>
        <v>1</v>
      </c>
    </row>
    <row r="141" spans="1:3" x14ac:dyDescent="0.15">
      <c r="A141" t="s">
        <v>127</v>
      </c>
      <c r="B141" t="b">
        <f>AND(D120&gt;60,D121&gt;60)</f>
        <v>0</v>
      </c>
    </row>
    <row r="142" spans="1:3" x14ac:dyDescent="0.15">
      <c r="A142" t="s">
        <v>129</v>
      </c>
      <c r="B142" t="str">
        <f>IF(D120&gt;60,"及格","不及格")</f>
        <v>不及格</v>
      </c>
    </row>
    <row r="143" spans="1:3" x14ac:dyDescent="0.15">
      <c r="A143" s="14" t="s">
        <v>130</v>
      </c>
      <c r="B143" t="s">
        <v>135</v>
      </c>
      <c r="C143">
        <f>SUMIF(E120:E124,"男",D120:D124)</f>
        <v>191</v>
      </c>
    </row>
    <row r="144" spans="1:3" x14ac:dyDescent="0.15">
      <c r="B144" t="s">
        <v>134</v>
      </c>
      <c r="C144">
        <f>SUMIF(E120:E124,"女",D120:D124)</f>
        <v>144</v>
      </c>
    </row>
    <row r="145" spans="1:4" x14ac:dyDescent="0.15">
      <c r="A145" t="s">
        <v>136</v>
      </c>
      <c r="B145" t="s">
        <v>137</v>
      </c>
      <c r="C145">
        <f>SUMIFS(D120:D124,E120:E124,"男",F120:F124,"&lt;=20")</f>
        <v>141</v>
      </c>
    </row>
    <row r="146" spans="1:4" x14ac:dyDescent="0.15">
      <c r="A146" t="s">
        <v>139</v>
      </c>
      <c r="B146" s="14" t="s">
        <v>141</v>
      </c>
      <c r="C146" s="14" t="s">
        <v>140</v>
      </c>
    </row>
    <row r="147" spans="1:4" x14ac:dyDescent="0.15">
      <c r="B147" s="14">
        <v>101</v>
      </c>
      <c r="C147" s="14" t="str">
        <f>VLOOKUP(B147,$G$119:$H$122,2,FALSE)</f>
        <v>张1</v>
      </c>
      <c r="D147" s="14"/>
    </row>
    <row r="148" spans="1:4" x14ac:dyDescent="0.15">
      <c r="B148" s="14">
        <v>102</v>
      </c>
      <c r="C148" s="14" t="str">
        <f>VLOOKUP(B148,G120:H123,2,FALSE)</f>
        <v>张2</v>
      </c>
    </row>
    <row r="149" spans="1:4" x14ac:dyDescent="0.15">
      <c r="B149" s="14">
        <v>103</v>
      </c>
      <c r="C149" s="14" t="str">
        <f>VLOOKUP(B149,G121:H124,2,FALSE)</f>
        <v>张3</v>
      </c>
    </row>
    <row r="150" spans="1:4" x14ac:dyDescent="0.15">
      <c r="A150" t="s">
        <v>143</v>
      </c>
      <c r="B150" s="14" t="str">
        <f>LOOKUP(103,B146:B149,C146:C149)</f>
        <v>张3</v>
      </c>
      <c r="C150" s="14"/>
    </row>
    <row r="151" spans="1:4" x14ac:dyDescent="0.15">
      <c r="A151" t="s">
        <v>144</v>
      </c>
      <c r="B151" s="14" t="str">
        <f>"第"&amp;RANK(D121,D120:D124)&amp;"名"</f>
        <v>第2名</v>
      </c>
      <c r="C151" s="14"/>
    </row>
    <row r="152" spans="1:4" x14ac:dyDescent="0.15">
      <c r="A152" t="s">
        <v>146</v>
      </c>
      <c r="B152" s="16">
        <f ca="1">TODAY()</f>
        <v>43775</v>
      </c>
    </row>
    <row r="153" spans="1:4" x14ac:dyDescent="0.15">
      <c r="A153" t="s">
        <v>147</v>
      </c>
      <c r="B153">
        <f ca="1">YEAR(TODAY())</f>
        <v>2019</v>
      </c>
    </row>
    <row r="154" spans="1:4" x14ac:dyDescent="0.15">
      <c r="A154" t="s">
        <v>148</v>
      </c>
      <c r="B154">
        <f ca="1">MONTH(TODAY())</f>
        <v>11</v>
      </c>
    </row>
    <row r="155" spans="1:4" x14ac:dyDescent="0.15">
      <c r="A155" t="s">
        <v>149</v>
      </c>
      <c r="B155" s="16">
        <f>DATE(2019, 10, 22)</f>
        <v>43760</v>
      </c>
    </row>
    <row r="156" spans="1:4" x14ac:dyDescent="0.15">
      <c r="A156" t="s">
        <v>150</v>
      </c>
      <c r="B156" s="17">
        <f>TIME(15, 43, 10)</f>
        <v>0.65497685185185184</v>
      </c>
    </row>
    <row r="157" spans="1:4" x14ac:dyDescent="0.15">
      <c r="A157" t="s">
        <v>151</v>
      </c>
      <c r="B157">
        <f>HOUR(B156)</f>
        <v>15</v>
      </c>
    </row>
    <row r="158" spans="1:4" x14ac:dyDescent="0.15">
      <c r="A158" t="s">
        <v>152</v>
      </c>
      <c r="B158">
        <f>MINUTE(B156)</f>
        <v>43</v>
      </c>
    </row>
    <row r="159" spans="1:4" x14ac:dyDescent="0.15">
      <c r="A159" t="s">
        <v>153</v>
      </c>
      <c r="B159">
        <f>SECOND(B156)</f>
        <v>10</v>
      </c>
    </row>
    <row r="160" spans="1:4" x14ac:dyDescent="0.15">
      <c r="A160" t="s">
        <v>154</v>
      </c>
      <c r="B160" s="18">
        <f ca="1">NOW()</f>
        <v>43775.008437384262</v>
      </c>
    </row>
    <row r="161" spans="1:2" x14ac:dyDescent="0.15">
      <c r="A161" t="s">
        <v>155</v>
      </c>
      <c r="B161">
        <f ca="1">WEEKDAY(B160,2)</f>
        <v>3</v>
      </c>
    </row>
    <row r="162" spans="1:2" x14ac:dyDescent="0.15">
      <c r="A162" t="s">
        <v>156</v>
      </c>
      <c r="B162" t="str">
        <f>MID(H124,3,2)</f>
        <v>晋三</v>
      </c>
    </row>
    <row r="163" spans="1:2" x14ac:dyDescent="0.15">
      <c r="A163" t="s">
        <v>157</v>
      </c>
      <c r="B163" t="str">
        <f>LEFT(H120,1)</f>
        <v>张</v>
      </c>
    </row>
    <row r="164" spans="1:2" x14ac:dyDescent="0.15">
      <c r="A164" t="s">
        <v>158</v>
      </c>
      <c r="B164" t="str">
        <f>RIGHT(H120,1)</f>
        <v>1</v>
      </c>
    </row>
    <row r="165" spans="1:2" x14ac:dyDescent="0.15">
      <c r="A165" t="s">
        <v>159</v>
      </c>
      <c r="B165" t="str">
        <f>TRIM(H123)</f>
        <v>张 5</v>
      </c>
    </row>
    <row r="166" spans="1:2" s="14" customFormat="1" x14ac:dyDescent="0.15">
      <c r="A166" s="14" t="s">
        <v>194</v>
      </c>
      <c r="B166" s="14" t="str">
        <f>CONCATENATE(H120,H121)</f>
        <v>张1张2</v>
      </c>
    </row>
    <row r="167" spans="1:2" s="14" customFormat="1" x14ac:dyDescent="0.15">
      <c r="A167" s="14" t="s">
        <v>195</v>
      </c>
      <c r="B167" s="14" t="str">
        <f>H120&amp;H121</f>
        <v>张1张2</v>
      </c>
    </row>
    <row r="168" spans="1:2" x14ac:dyDescent="0.15">
      <c r="A168" t="s">
        <v>161</v>
      </c>
      <c r="B168">
        <f>LEN(H124)</f>
        <v>4</v>
      </c>
    </row>
    <row r="169" spans="1:2" x14ac:dyDescent="0.15">
      <c r="A169" t="s">
        <v>162</v>
      </c>
      <c r="B169">
        <f>LENB(H125)</f>
        <v>5</v>
      </c>
    </row>
    <row r="170" spans="1:2" x14ac:dyDescent="0.15">
      <c r="A170" t="s">
        <v>165</v>
      </c>
      <c r="B170" t="str">
        <f>TEXT(H126,"0000年00月00日")</f>
        <v>2019年10月22日</v>
      </c>
    </row>
    <row r="171" spans="1:2" x14ac:dyDescent="0.15">
      <c r="A171" t="s">
        <v>166</v>
      </c>
      <c r="B171">
        <f>MOD(D120,3)</f>
        <v>2</v>
      </c>
    </row>
    <row r="172" spans="1:2" x14ac:dyDescent="0.15">
      <c r="A172" t="s">
        <v>167</v>
      </c>
      <c r="B172" t="b">
        <f>ISODD(D120)</f>
        <v>0</v>
      </c>
    </row>
    <row r="173" spans="1:2" x14ac:dyDescent="0.15">
      <c r="A173" t="s">
        <v>168</v>
      </c>
      <c r="B173" t="b">
        <f>ISEVEN(D120)</f>
        <v>1</v>
      </c>
    </row>
    <row r="176" spans="1:2" x14ac:dyDescent="0.15">
      <c r="A176" t="s">
        <v>169</v>
      </c>
    </row>
    <row r="177" spans="1:3" x14ac:dyDescent="0.15">
      <c r="A177" s="14" t="s">
        <v>140</v>
      </c>
      <c r="B177" t="s">
        <v>171</v>
      </c>
      <c r="C177" s="14" t="s">
        <v>128</v>
      </c>
    </row>
    <row r="178" spans="1:3" x14ac:dyDescent="0.15">
      <c r="A178" s="14" t="s">
        <v>142</v>
      </c>
      <c r="B178" t="s">
        <v>172</v>
      </c>
      <c r="C178" s="14">
        <v>50</v>
      </c>
    </row>
    <row r="179" spans="1:3" x14ac:dyDescent="0.15">
      <c r="A179" s="14" t="s">
        <v>99</v>
      </c>
      <c r="B179" t="s">
        <v>172</v>
      </c>
      <c r="C179" s="14">
        <v>74</v>
      </c>
    </row>
    <row r="180" spans="1:3" x14ac:dyDescent="0.15">
      <c r="A180" s="14" t="s">
        <v>164</v>
      </c>
      <c r="B180" t="s">
        <v>173</v>
      </c>
      <c r="C180" s="14">
        <v>88</v>
      </c>
    </row>
    <row r="181" spans="1:3" x14ac:dyDescent="0.15">
      <c r="A181" s="14" t="s">
        <v>170</v>
      </c>
      <c r="B181" t="s">
        <v>173</v>
      </c>
      <c r="C181" s="14">
        <v>70</v>
      </c>
    </row>
    <row r="182" spans="1:3" x14ac:dyDescent="0.15">
      <c r="A182" s="14" t="s">
        <v>160</v>
      </c>
      <c r="B182" t="s">
        <v>172</v>
      </c>
      <c r="C182" s="14">
        <v>53</v>
      </c>
    </row>
    <row r="200" spans="1:4" x14ac:dyDescent="0.15">
      <c r="A200" t="s">
        <v>174</v>
      </c>
      <c r="B200" t="s">
        <v>175</v>
      </c>
      <c r="C200" t="s">
        <v>181</v>
      </c>
      <c r="D200" t="s">
        <v>182</v>
      </c>
    </row>
    <row r="201" spans="1:4" x14ac:dyDescent="0.15">
      <c r="A201">
        <v>1</v>
      </c>
      <c r="B201" t="s">
        <v>176</v>
      </c>
      <c r="C201">
        <v>13000</v>
      </c>
      <c r="D201" s="15">
        <v>1.4E-2</v>
      </c>
    </row>
    <row r="202" spans="1:4" x14ac:dyDescent="0.15">
      <c r="A202">
        <v>2</v>
      </c>
      <c r="B202" t="s">
        <v>177</v>
      </c>
      <c r="C202">
        <v>14000</v>
      </c>
      <c r="D202" s="15">
        <v>3.4000000000000002E-2</v>
      </c>
    </row>
    <row r="203" spans="1:4" x14ac:dyDescent="0.15">
      <c r="A203">
        <v>3</v>
      </c>
      <c r="B203" t="s">
        <v>178</v>
      </c>
      <c r="C203">
        <v>21000</v>
      </c>
      <c r="D203" s="15">
        <v>2.5999999999999999E-2</v>
      </c>
    </row>
    <row r="204" spans="1:4" x14ac:dyDescent="0.15">
      <c r="A204">
        <v>4</v>
      </c>
      <c r="B204" t="s">
        <v>179</v>
      </c>
      <c r="C204">
        <v>18000</v>
      </c>
      <c r="D204" s="15">
        <v>1.0999999999999999E-2</v>
      </c>
    </row>
    <row r="205" spans="1:4" x14ac:dyDescent="0.15">
      <c r="A205">
        <v>5</v>
      </c>
      <c r="B205" t="s">
        <v>180</v>
      </c>
      <c r="C205">
        <v>44000</v>
      </c>
      <c r="D205" s="15">
        <v>3.4000000000000002E-2</v>
      </c>
    </row>
    <row r="223" spans="1:1" s="14" customFormat="1" x14ac:dyDescent="0.15"/>
    <row r="224" spans="1:1" x14ac:dyDescent="0.15">
      <c r="A224" t="s">
        <v>189</v>
      </c>
    </row>
    <row r="225" spans="1:5" x14ac:dyDescent="0.15">
      <c r="B225" t="s">
        <v>186</v>
      </c>
      <c r="C225" t="s">
        <v>187</v>
      </c>
      <c r="D225" t="s">
        <v>188</v>
      </c>
    </row>
    <row r="226" spans="1:5" x14ac:dyDescent="0.15">
      <c r="A226" t="s">
        <v>183</v>
      </c>
      <c r="B226">
        <v>20000</v>
      </c>
      <c r="C226">
        <v>23000</v>
      </c>
      <c r="D226">
        <v>40000</v>
      </c>
    </row>
    <row r="227" spans="1:5" x14ac:dyDescent="0.15">
      <c r="A227" t="s">
        <v>184</v>
      </c>
      <c r="B227">
        <v>40000</v>
      </c>
      <c r="C227">
        <v>42000</v>
      </c>
      <c r="D227">
        <v>38000</v>
      </c>
      <c r="E227" s="14"/>
    </row>
    <row r="228" spans="1:5" x14ac:dyDescent="0.15">
      <c r="A228" t="s">
        <v>185</v>
      </c>
      <c r="B228">
        <v>38000</v>
      </c>
      <c r="C228">
        <v>42000</v>
      </c>
      <c r="D228">
        <v>18000</v>
      </c>
      <c r="E228" s="14"/>
    </row>
  </sheetData>
  <protectedRanges>
    <protectedRange sqref="F96:J106 E1:I95 C119 A129:A130 A132:A133 C124:C126 F121:F126 F143:J143 E107:I118 E127:I142 D146:H146 D119:E126 E144:I145 E147:I176 G124:G126 H125:H126 B177:E182 E183:I1048576" name="区域1"/>
  </protectedRanges>
  <autoFilter ref="A57:I57"/>
  <mergeCells count="1">
    <mergeCell ref="A16:D16"/>
  </mergeCells>
  <phoneticPr fontId="2" type="noConversion"/>
  <conditionalFormatting sqref="E40:G49">
    <cfRule type="cellIs" dxfId="37" priority="17" operator="greaterThan">
      <formula>95</formula>
    </cfRule>
    <cfRule type="cellIs" dxfId="36" priority="21" operator="lessThan">
      <formula>60</formula>
    </cfRule>
    <cfRule type="cellIs" dxfId="35" priority="22" operator="greaterThanOrEqual">
      <formula>90</formula>
    </cfRule>
  </conditionalFormatting>
  <conditionalFormatting sqref="B39:C49">
    <cfRule type="duplicateValues" dxfId="34" priority="20"/>
  </conditionalFormatting>
  <conditionalFormatting sqref="H40:H49">
    <cfRule type="top10" dxfId="33" priority="19" rank="3"/>
  </conditionalFormatting>
  <conditionalFormatting sqref="I40:I49">
    <cfRule type="top10" dxfId="32" priority="18" rank="1"/>
  </conditionalFormatting>
  <conditionalFormatting sqref="E58:G67">
    <cfRule type="cellIs" dxfId="31" priority="11" operator="greaterThan">
      <formula>95</formula>
    </cfRule>
    <cfRule type="cellIs" dxfId="30" priority="15" operator="lessThan">
      <formula>60</formula>
    </cfRule>
    <cfRule type="cellIs" dxfId="29" priority="16" operator="greaterThanOrEqual">
      <formula>90</formula>
    </cfRule>
  </conditionalFormatting>
  <conditionalFormatting sqref="B57:C67">
    <cfRule type="duplicateValues" dxfId="28" priority="14"/>
  </conditionalFormatting>
  <conditionalFormatting sqref="H58:H67">
    <cfRule type="top10" dxfId="27" priority="10" bottom="1" rank="3"/>
    <cfRule type="top10" dxfId="26" priority="13" rank="3"/>
  </conditionalFormatting>
  <conditionalFormatting sqref="I58:I67">
    <cfRule type="top10" dxfId="25" priority="9" bottom="1" rank="1"/>
    <cfRule type="top10" dxfId="24" priority="12" rank="1"/>
  </conditionalFormatting>
  <conditionalFormatting sqref="F97:H106">
    <cfRule type="cellIs" dxfId="23" priority="3" operator="greaterThan">
      <formula>95</formula>
    </cfRule>
    <cfRule type="cellIs" dxfId="22" priority="7" operator="lessThan">
      <formula>60</formula>
    </cfRule>
    <cfRule type="cellIs" dxfId="21" priority="8" operator="greaterThanOrEqual">
      <formula>90</formula>
    </cfRule>
  </conditionalFormatting>
  <conditionalFormatting sqref="B96:D106">
    <cfRule type="duplicateValues" dxfId="20" priority="6"/>
  </conditionalFormatting>
  <conditionalFormatting sqref="I97:I106">
    <cfRule type="top10" dxfId="19" priority="2" bottom="1" rank="3"/>
    <cfRule type="top10" dxfId="18" priority="5" rank="3"/>
  </conditionalFormatting>
  <conditionalFormatting sqref="J97:J106">
    <cfRule type="top10" dxfId="17" priority="1" bottom="1" rank="1"/>
    <cfRule type="top10" dxfId="16" priority="4" rank="1"/>
  </conditionalFormatting>
  <dataValidations disablePrompts="1" count="2">
    <dataValidation type="list" allowBlank="1" showInputMessage="1" showErrorMessage="1" sqref="B87:B92">
      <formula1>"男,女"</formula1>
    </dataValidation>
    <dataValidation type="list" allowBlank="1" showInputMessage="1" showErrorMessage="1" sqref="C87:C92">
      <formula1>"本科,大专"</formula1>
    </dataValidation>
  </dataValidations>
  <pageMargins left="0.7" right="0.7" top="0.75" bottom="0.75" header="0.3" footer="0.3"/>
  <pageSetup paperSize="9" orientation="portrait" horizontalDpi="1200" verticalDpi="1200" r:id="rId1"/>
  <drawing r:id="rId2"/>
  <tableParts count="2">
    <tablePart r:id="rId3"/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'第二学期成绩表 (2)'!B226:D226</xm:f>
              <xm:sqref>E226</xm:sqref>
            </x14:sparkline>
            <x14:sparkline>
              <xm:f>'第二学期成绩表 (2)'!B227:D227</xm:f>
              <xm:sqref>E227</xm:sqref>
            </x14:sparkline>
            <x14:sparkline>
              <xm:f>'第二学期成绩表 (2)'!B228:D228</xm:f>
              <xm:sqref>E228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6" sqref="D6"/>
    </sheetView>
  </sheetViews>
  <sheetFormatPr defaultRowHeight="13.5" x14ac:dyDescent="0.15"/>
  <sheetData>
    <row r="1" spans="1:4" x14ac:dyDescent="0.15">
      <c r="A1" t="s">
        <v>61</v>
      </c>
    </row>
    <row r="2" spans="1:4" x14ac:dyDescent="0.15">
      <c r="A2" t="s">
        <v>41</v>
      </c>
      <c r="B2" t="s">
        <v>42</v>
      </c>
      <c r="C2" t="s">
        <v>43</v>
      </c>
      <c r="D2" t="s">
        <v>44</v>
      </c>
    </row>
    <row r="3" spans="1:4" x14ac:dyDescent="0.15">
      <c r="A3" t="s">
        <v>45</v>
      </c>
      <c r="B3">
        <v>74</v>
      </c>
      <c r="C3">
        <v>96</v>
      </c>
      <c r="D3">
        <v>104</v>
      </c>
    </row>
    <row r="4" spans="1:4" x14ac:dyDescent="0.15">
      <c r="A4" t="s">
        <v>46</v>
      </c>
      <c r="B4">
        <v>58</v>
      </c>
      <c r="C4">
        <v>65</v>
      </c>
      <c r="D4">
        <v>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2" sqref="A2:D2"/>
    </sheetView>
  </sheetViews>
  <sheetFormatPr defaultRowHeight="13.5" x14ac:dyDescent="0.15"/>
  <sheetData>
    <row r="1" spans="1:4" x14ac:dyDescent="0.15">
      <c r="A1" t="s">
        <v>47</v>
      </c>
    </row>
    <row r="2" spans="1:4" x14ac:dyDescent="0.15">
      <c r="A2" t="s">
        <v>48</v>
      </c>
      <c r="B2" t="s">
        <v>49</v>
      </c>
      <c r="C2" t="s">
        <v>50</v>
      </c>
      <c r="D2" t="s">
        <v>51</v>
      </c>
    </row>
    <row r="3" spans="1:4" x14ac:dyDescent="0.15">
      <c r="A3" t="s">
        <v>52</v>
      </c>
      <c r="B3">
        <v>32</v>
      </c>
      <c r="C3">
        <v>43</v>
      </c>
      <c r="D3">
        <v>41</v>
      </c>
    </row>
    <row r="4" spans="1:4" x14ac:dyDescent="0.15">
      <c r="A4" t="s">
        <v>53</v>
      </c>
      <c r="B4">
        <v>23</v>
      </c>
      <c r="C4">
        <v>29</v>
      </c>
      <c r="D4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5" sqref="A5"/>
    </sheetView>
  </sheetViews>
  <sheetFormatPr defaultRowHeight="13.5" x14ac:dyDescent="0.15"/>
  <sheetData>
    <row r="1" spans="1:4" x14ac:dyDescent="0.15">
      <c r="A1" t="s">
        <v>62</v>
      </c>
    </row>
    <row r="2" spans="1:4" x14ac:dyDescent="0.15">
      <c r="A2" t="s">
        <v>54</v>
      </c>
    </row>
    <row r="3" spans="1:4" x14ac:dyDescent="0.15">
      <c r="A3" t="s">
        <v>55</v>
      </c>
      <c r="B3" t="s">
        <v>56</v>
      </c>
      <c r="C3" t="s">
        <v>57</v>
      </c>
      <c r="D3" t="s">
        <v>58</v>
      </c>
    </row>
    <row r="4" spans="1:4" x14ac:dyDescent="0.15">
      <c r="A4" t="s">
        <v>59</v>
      </c>
      <c r="B4">
        <v>106</v>
      </c>
      <c r="C4">
        <v>139</v>
      </c>
      <c r="D4">
        <v>145</v>
      </c>
    </row>
    <row r="5" spans="1:4" x14ac:dyDescent="0.15">
      <c r="A5" t="s">
        <v>60</v>
      </c>
      <c r="B5">
        <v>81</v>
      </c>
      <c r="C5">
        <v>94</v>
      </c>
      <c r="D5">
        <v>88</v>
      </c>
    </row>
  </sheetData>
  <dataConsolidate topLabels="1">
    <dataRefs count="2">
      <dataRef ref="A2:D4" sheet="门店1"/>
      <dataRef ref="A2:D4" sheet="门店2"/>
    </dataRefs>
  </dataConsolid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H29" sqref="H29"/>
    </sheetView>
  </sheetViews>
  <sheetFormatPr defaultRowHeight="13.5" x14ac:dyDescent="0.15"/>
  <sheetData>
    <row r="1" spans="1:4" x14ac:dyDescent="0.15">
      <c r="A1" t="s">
        <v>2</v>
      </c>
    </row>
    <row r="2" spans="1:4" x14ac:dyDescent="0.15">
      <c r="A2" t="s">
        <v>0</v>
      </c>
    </row>
    <row r="3" spans="1:4" x14ac:dyDescent="0.15">
      <c r="A3" s="1" t="s">
        <v>1</v>
      </c>
    </row>
    <row r="6" spans="1:4" x14ac:dyDescent="0.15">
      <c r="A6" t="s">
        <v>3</v>
      </c>
    </row>
    <row r="7" spans="1:4" x14ac:dyDescent="0.15">
      <c r="A7" t="s">
        <v>4</v>
      </c>
      <c r="B7" t="s">
        <v>5</v>
      </c>
      <c r="C7" t="s">
        <v>6</v>
      </c>
      <c r="D7" t="s">
        <v>7</v>
      </c>
    </row>
    <row r="8" spans="1:4" x14ac:dyDescent="0.15">
      <c r="A8">
        <v>1</v>
      </c>
      <c r="B8">
        <v>3</v>
      </c>
      <c r="C8">
        <f>A8+B8</f>
        <v>4</v>
      </c>
      <c r="D8" t="s">
        <v>9</v>
      </c>
    </row>
    <row r="9" spans="1:4" x14ac:dyDescent="0.15">
      <c r="A9">
        <v>3</v>
      </c>
      <c r="B9">
        <v>2</v>
      </c>
      <c r="C9">
        <f t="shared" ref="C9:C12" si="0">A9+B9</f>
        <v>5</v>
      </c>
      <c r="D9" t="s">
        <v>10</v>
      </c>
    </row>
    <row r="10" spans="1:4" x14ac:dyDescent="0.15">
      <c r="A10">
        <v>2</v>
      </c>
      <c r="B10">
        <v>1</v>
      </c>
      <c r="C10">
        <f t="shared" si="0"/>
        <v>3</v>
      </c>
      <c r="D10" t="s">
        <v>11</v>
      </c>
    </row>
    <row r="11" spans="1:4" x14ac:dyDescent="0.15">
      <c r="A11">
        <v>5</v>
      </c>
      <c r="B11">
        <v>3</v>
      </c>
      <c r="C11">
        <f t="shared" si="0"/>
        <v>8</v>
      </c>
      <c r="D11" t="s">
        <v>12</v>
      </c>
    </row>
    <row r="12" spans="1:4" x14ac:dyDescent="0.15">
      <c r="A12">
        <v>4</v>
      </c>
      <c r="B12">
        <v>4</v>
      </c>
      <c r="C12">
        <f t="shared" si="0"/>
        <v>8</v>
      </c>
      <c r="D12" t="s">
        <v>8</v>
      </c>
    </row>
    <row r="15" spans="1:4" x14ac:dyDescent="0.15">
      <c r="A15" t="s">
        <v>13</v>
      </c>
    </row>
    <row r="16" spans="1:4" x14ac:dyDescent="0.15">
      <c r="A16" s="20" t="s">
        <v>14</v>
      </c>
      <c r="B16" s="20"/>
      <c r="C16" s="20"/>
      <c r="D16" s="20"/>
    </row>
    <row r="17" spans="1:4" x14ac:dyDescent="0.15">
      <c r="A17" t="s">
        <v>15</v>
      </c>
    </row>
    <row r="20" spans="1:4" ht="14.25" thickBot="1" x14ac:dyDescent="0.2">
      <c r="A20" t="s">
        <v>16</v>
      </c>
    </row>
    <row r="21" spans="1:4" ht="14.25" thickTop="1" x14ac:dyDescent="0.15">
      <c r="A21" s="2" t="s">
        <v>4</v>
      </c>
      <c r="B21" s="2" t="s">
        <v>5</v>
      </c>
      <c r="C21" s="2" t="s">
        <v>6</v>
      </c>
      <c r="D21" s="2" t="s">
        <v>7</v>
      </c>
    </row>
    <row r="22" spans="1:4" x14ac:dyDescent="0.15">
      <c r="A22" s="3">
        <v>1</v>
      </c>
      <c r="B22" s="4">
        <v>3</v>
      </c>
      <c r="C22" s="4">
        <f>A22+B22</f>
        <v>4</v>
      </c>
      <c r="D22" s="5" t="s">
        <v>9</v>
      </c>
    </row>
    <row r="23" spans="1:4" x14ac:dyDescent="0.15">
      <c r="A23" s="3">
        <v>3</v>
      </c>
      <c r="B23" s="4">
        <v>2</v>
      </c>
      <c r="C23" s="4">
        <f t="shared" ref="C23:C26" si="1">A23+B23</f>
        <v>5</v>
      </c>
      <c r="D23" s="5" t="s">
        <v>10</v>
      </c>
    </row>
    <row r="24" spans="1:4" x14ac:dyDescent="0.15">
      <c r="A24" s="3">
        <v>2</v>
      </c>
      <c r="B24" s="4">
        <v>1</v>
      </c>
      <c r="C24" s="4">
        <f t="shared" si="1"/>
        <v>3</v>
      </c>
      <c r="D24" s="5" t="s">
        <v>11</v>
      </c>
    </row>
    <row r="25" spans="1:4" x14ac:dyDescent="0.15">
      <c r="A25" s="3">
        <v>5</v>
      </c>
      <c r="B25" s="4">
        <v>3</v>
      </c>
      <c r="C25" s="4">
        <f t="shared" si="1"/>
        <v>8</v>
      </c>
      <c r="D25" s="5" t="s">
        <v>12</v>
      </c>
    </row>
    <row r="26" spans="1:4" x14ac:dyDescent="0.15">
      <c r="A26" s="6">
        <v>4</v>
      </c>
      <c r="B26" s="7">
        <v>4</v>
      </c>
      <c r="C26" s="7">
        <f t="shared" si="1"/>
        <v>8</v>
      </c>
      <c r="D26" s="8" t="s">
        <v>8</v>
      </c>
    </row>
    <row r="29" spans="1:4" x14ac:dyDescent="0.15">
      <c r="A29" t="s">
        <v>17</v>
      </c>
    </row>
    <row r="30" spans="1:4" x14ac:dyDescent="0.15">
      <c r="A30" t="s">
        <v>4</v>
      </c>
      <c r="B30" t="s">
        <v>5</v>
      </c>
      <c r="C30" t="s">
        <v>6</v>
      </c>
      <c r="D30" t="s">
        <v>7</v>
      </c>
    </row>
    <row r="31" spans="1:4" x14ac:dyDescent="0.15">
      <c r="A31">
        <v>1</v>
      </c>
      <c r="B31">
        <v>3</v>
      </c>
      <c r="C31">
        <f>表2[[#This Row],[第一列]]+表2[[#This Row],[第二列]]</f>
        <v>4</v>
      </c>
      <c r="D31" t="s">
        <v>9</v>
      </c>
    </row>
    <row r="32" spans="1:4" x14ac:dyDescent="0.15">
      <c r="A32">
        <v>3</v>
      </c>
      <c r="B32">
        <v>2</v>
      </c>
      <c r="C32">
        <f>表2[[#This Row],[第一列]]+表2[[#This Row],[第二列]]</f>
        <v>5</v>
      </c>
      <c r="D32" t="s">
        <v>10</v>
      </c>
    </row>
    <row r="33" spans="1:9" x14ac:dyDescent="0.15">
      <c r="A33">
        <v>2</v>
      </c>
      <c r="B33">
        <v>1</v>
      </c>
      <c r="C33">
        <f>表2[[#This Row],[第一列]]+表2[[#This Row],[第二列]]</f>
        <v>3</v>
      </c>
      <c r="D33" t="s">
        <v>11</v>
      </c>
    </row>
    <row r="34" spans="1:9" x14ac:dyDescent="0.15">
      <c r="A34">
        <v>5</v>
      </c>
      <c r="B34">
        <v>3</v>
      </c>
      <c r="C34">
        <f>表2[[#This Row],[第一列]]+表2[[#This Row],[第二列]]</f>
        <v>8</v>
      </c>
      <c r="D34" t="s">
        <v>12</v>
      </c>
    </row>
    <row r="35" spans="1:9" x14ac:dyDescent="0.15">
      <c r="A35">
        <v>4</v>
      </c>
      <c r="B35">
        <v>4</v>
      </c>
      <c r="C35">
        <f>表2[[#This Row],[第一列]]+表2[[#This Row],[第二列]]</f>
        <v>8</v>
      </c>
      <c r="D35" t="s">
        <v>8</v>
      </c>
    </row>
    <row r="38" spans="1:9" x14ac:dyDescent="0.15">
      <c r="A38" t="s">
        <v>38</v>
      </c>
    </row>
    <row r="39" spans="1:9" x14ac:dyDescent="0.1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</row>
    <row r="40" spans="1:9" x14ac:dyDescent="0.15">
      <c r="A40">
        <v>120104</v>
      </c>
      <c r="B40" t="s">
        <v>27</v>
      </c>
      <c r="C40" t="s">
        <v>28</v>
      </c>
      <c r="D40" t="str">
        <f>MID(A40,4,1)&amp;"班"</f>
        <v>1班</v>
      </c>
      <c r="E40">
        <v>98</v>
      </c>
      <c r="F40">
        <v>85</v>
      </c>
      <c r="G40">
        <v>56</v>
      </c>
      <c r="H40">
        <f>SUM(E40:G40)</f>
        <v>239</v>
      </c>
      <c r="I40">
        <f>AVERAGEA(E40:G40)</f>
        <v>79.666666666666671</v>
      </c>
    </row>
    <row r="41" spans="1:9" x14ac:dyDescent="0.15">
      <c r="A41">
        <v>120207</v>
      </c>
      <c r="B41" t="s">
        <v>27</v>
      </c>
      <c r="C41" t="s">
        <v>28</v>
      </c>
      <c r="D41" t="str">
        <f t="shared" ref="D41:D49" si="2">MID(A41,4,1)&amp;"班"</f>
        <v>2班</v>
      </c>
      <c r="E41">
        <v>94</v>
      </c>
      <c r="F41">
        <v>99</v>
      </c>
      <c r="G41">
        <v>58</v>
      </c>
      <c r="H41">
        <f t="shared" ref="H41:H49" si="3">SUM(E41:G41)</f>
        <v>251</v>
      </c>
      <c r="I41">
        <f t="shared" ref="I41:I49" si="4">AVERAGEA(E41:G41)</f>
        <v>83.666666666666671</v>
      </c>
    </row>
    <row r="42" spans="1:9" x14ac:dyDescent="0.15">
      <c r="A42">
        <v>120301</v>
      </c>
      <c r="B42" t="s">
        <v>29</v>
      </c>
      <c r="C42" t="s">
        <v>30</v>
      </c>
      <c r="D42" t="str">
        <f t="shared" si="2"/>
        <v>3班</v>
      </c>
      <c r="E42">
        <v>89</v>
      </c>
      <c r="F42">
        <v>94</v>
      </c>
      <c r="G42">
        <v>74</v>
      </c>
      <c r="H42">
        <f t="shared" si="3"/>
        <v>257</v>
      </c>
      <c r="I42">
        <f t="shared" si="4"/>
        <v>85.666666666666671</v>
      </c>
    </row>
    <row r="43" spans="1:9" x14ac:dyDescent="0.15">
      <c r="A43">
        <v>120203</v>
      </c>
      <c r="B43" t="s">
        <v>31</v>
      </c>
      <c r="C43" t="s">
        <v>28</v>
      </c>
      <c r="D43" t="str">
        <f t="shared" si="2"/>
        <v>2班</v>
      </c>
      <c r="E43">
        <v>78</v>
      </c>
      <c r="F43">
        <v>84</v>
      </c>
      <c r="G43">
        <v>97</v>
      </c>
      <c r="H43">
        <f t="shared" si="3"/>
        <v>259</v>
      </c>
      <c r="I43">
        <f t="shared" si="4"/>
        <v>86.333333333333329</v>
      </c>
    </row>
    <row r="44" spans="1:9" x14ac:dyDescent="0.15">
      <c r="A44">
        <v>120304</v>
      </c>
      <c r="B44" t="s">
        <v>32</v>
      </c>
      <c r="C44" t="s">
        <v>30</v>
      </c>
      <c r="D44" t="str">
        <f t="shared" si="2"/>
        <v>3班</v>
      </c>
      <c r="E44">
        <v>74</v>
      </c>
      <c r="F44">
        <v>78</v>
      </c>
      <c r="G44">
        <v>79</v>
      </c>
      <c r="H44">
        <f t="shared" si="3"/>
        <v>231</v>
      </c>
      <c r="I44">
        <f t="shared" si="4"/>
        <v>77</v>
      </c>
    </row>
    <row r="45" spans="1:9" x14ac:dyDescent="0.15">
      <c r="A45">
        <v>120208</v>
      </c>
      <c r="B45" t="s">
        <v>33</v>
      </c>
      <c r="C45" t="s">
        <v>30</v>
      </c>
      <c r="D45" t="str">
        <f t="shared" si="2"/>
        <v>2班</v>
      </c>
      <c r="E45">
        <v>54</v>
      </c>
      <c r="F45">
        <v>74</v>
      </c>
      <c r="G45">
        <v>95</v>
      </c>
      <c r="H45">
        <f t="shared" si="3"/>
        <v>223</v>
      </c>
      <c r="I45">
        <f t="shared" si="4"/>
        <v>74.333333333333329</v>
      </c>
    </row>
    <row r="46" spans="1:9" x14ac:dyDescent="0.15">
      <c r="A46">
        <v>120109</v>
      </c>
      <c r="B46" t="s">
        <v>34</v>
      </c>
      <c r="C46" t="s">
        <v>28</v>
      </c>
      <c r="D46" t="str">
        <f t="shared" si="2"/>
        <v>1班</v>
      </c>
      <c r="E46">
        <v>76</v>
      </c>
      <c r="F46">
        <v>64</v>
      </c>
      <c r="G46">
        <v>83</v>
      </c>
      <c r="H46">
        <f t="shared" si="3"/>
        <v>223</v>
      </c>
      <c r="I46">
        <f t="shared" si="4"/>
        <v>74.333333333333329</v>
      </c>
    </row>
    <row r="47" spans="1:9" x14ac:dyDescent="0.15">
      <c r="A47">
        <v>120303</v>
      </c>
      <c r="B47" t="s">
        <v>35</v>
      </c>
      <c r="C47" t="s">
        <v>30</v>
      </c>
      <c r="D47" t="str">
        <f t="shared" si="2"/>
        <v>3班</v>
      </c>
      <c r="E47">
        <v>55</v>
      </c>
      <c r="F47">
        <v>83</v>
      </c>
      <c r="G47">
        <v>58</v>
      </c>
      <c r="H47">
        <f t="shared" si="3"/>
        <v>196</v>
      </c>
      <c r="I47">
        <f t="shared" si="4"/>
        <v>65.333333333333329</v>
      </c>
    </row>
    <row r="48" spans="1:9" x14ac:dyDescent="0.15">
      <c r="A48">
        <v>120304</v>
      </c>
      <c r="B48" t="s">
        <v>36</v>
      </c>
      <c r="C48" t="s">
        <v>30</v>
      </c>
      <c r="D48" t="str">
        <f t="shared" si="2"/>
        <v>3班</v>
      </c>
      <c r="E48">
        <v>93</v>
      </c>
      <c r="F48">
        <v>85</v>
      </c>
      <c r="G48">
        <v>95</v>
      </c>
      <c r="H48">
        <f t="shared" si="3"/>
        <v>273</v>
      </c>
      <c r="I48">
        <f t="shared" si="4"/>
        <v>91</v>
      </c>
    </row>
    <row r="49" spans="1:9" x14ac:dyDescent="0.15">
      <c r="A49">
        <v>120105</v>
      </c>
      <c r="B49" t="s">
        <v>37</v>
      </c>
      <c r="C49" t="s">
        <v>28</v>
      </c>
      <c r="D49" t="str">
        <f t="shared" si="2"/>
        <v>1班</v>
      </c>
      <c r="E49">
        <v>78</v>
      </c>
      <c r="F49">
        <v>95</v>
      </c>
      <c r="G49">
        <v>64</v>
      </c>
      <c r="H49">
        <f t="shared" si="3"/>
        <v>237</v>
      </c>
      <c r="I49">
        <f t="shared" si="4"/>
        <v>79</v>
      </c>
    </row>
    <row r="52" spans="1:9" x14ac:dyDescent="0.15">
      <c r="A52" t="s">
        <v>40</v>
      </c>
    </row>
    <row r="55" spans="1:9" x14ac:dyDescent="0.15">
      <c r="A55" t="s">
        <v>39</v>
      </c>
    </row>
    <row r="56" spans="1:9" x14ac:dyDescent="0.1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</row>
    <row r="57" spans="1:9" x14ac:dyDescent="0.15">
      <c r="A57">
        <v>120104</v>
      </c>
      <c r="B57" t="s">
        <v>27</v>
      </c>
      <c r="C57" t="s">
        <v>28</v>
      </c>
      <c r="D57" t="str">
        <f t="shared" ref="D57:D66" si="5">MID(A57,4,1)&amp;"班"</f>
        <v>1班</v>
      </c>
      <c r="E57">
        <v>98</v>
      </c>
      <c r="F57">
        <v>85</v>
      </c>
      <c r="G57">
        <v>56</v>
      </c>
      <c r="H57">
        <f t="shared" ref="H57:H66" si="6">SUM(E57:G57)</f>
        <v>239</v>
      </c>
      <c r="I57">
        <f t="shared" ref="I57:I66" si="7">AVERAGEA(E57:G57)</f>
        <v>79.666666666666671</v>
      </c>
    </row>
    <row r="58" spans="1:9" x14ac:dyDescent="0.15">
      <c r="A58">
        <v>120207</v>
      </c>
      <c r="B58" t="s">
        <v>27</v>
      </c>
      <c r="C58" t="s">
        <v>28</v>
      </c>
      <c r="D58" t="str">
        <f t="shared" si="5"/>
        <v>2班</v>
      </c>
      <c r="E58">
        <v>94</v>
      </c>
      <c r="F58">
        <v>99</v>
      </c>
      <c r="G58">
        <v>58</v>
      </c>
      <c r="H58">
        <f t="shared" si="6"/>
        <v>251</v>
      </c>
      <c r="I58">
        <f t="shared" si="7"/>
        <v>83.666666666666671</v>
      </c>
    </row>
    <row r="59" spans="1:9" x14ac:dyDescent="0.15">
      <c r="A59">
        <v>120203</v>
      </c>
      <c r="B59" t="s">
        <v>31</v>
      </c>
      <c r="C59" t="s">
        <v>28</v>
      </c>
      <c r="D59" t="str">
        <f t="shared" si="5"/>
        <v>2班</v>
      </c>
      <c r="E59">
        <v>78</v>
      </c>
      <c r="F59">
        <v>84</v>
      </c>
      <c r="G59">
        <v>97</v>
      </c>
      <c r="H59">
        <f t="shared" si="6"/>
        <v>259</v>
      </c>
      <c r="I59">
        <f t="shared" si="7"/>
        <v>86.333333333333329</v>
      </c>
    </row>
    <row r="60" spans="1:9" x14ac:dyDescent="0.15">
      <c r="A60">
        <v>120109</v>
      </c>
      <c r="B60" t="s">
        <v>34</v>
      </c>
      <c r="C60" t="s">
        <v>28</v>
      </c>
      <c r="D60" t="str">
        <f t="shared" si="5"/>
        <v>1班</v>
      </c>
      <c r="E60">
        <v>76</v>
      </c>
      <c r="F60">
        <v>64</v>
      </c>
      <c r="G60">
        <v>83</v>
      </c>
      <c r="H60">
        <f t="shared" si="6"/>
        <v>223</v>
      </c>
      <c r="I60">
        <f t="shared" si="7"/>
        <v>74.333333333333329</v>
      </c>
    </row>
    <row r="61" spans="1:9" x14ac:dyDescent="0.15">
      <c r="A61">
        <v>120105</v>
      </c>
      <c r="B61" t="s">
        <v>37</v>
      </c>
      <c r="C61" t="s">
        <v>28</v>
      </c>
      <c r="D61" t="str">
        <f t="shared" si="5"/>
        <v>1班</v>
      </c>
      <c r="E61">
        <v>78</v>
      </c>
      <c r="F61">
        <v>95</v>
      </c>
      <c r="G61">
        <v>64</v>
      </c>
      <c r="H61">
        <f t="shared" si="6"/>
        <v>237</v>
      </c>
      <c r="I61">
        <f t="shared" si="7"/>
        <v>79</v>
      </c>
    </row>
    <row r="62" spans="1:9" x14ac:dyDescent="0.15">
      <c r="A62">
        <v>120301</v>
      </c>
      <c r="B62" t="s">
        <v>29</v>
      </c>
      <c r="C62" t="s">
        <v>30</v>
      </c>
      <c r="D62" t="str">
        <f t="shared" si="5"/>
        <v>3班</v>
      </c>
      <c r="E62">
        <v>89</v>
      </c>
      <c r="F62">
        <v>94</v>
      </c>
      <c r="G62">
        <v>74</v>
      </c>
      <c r="H62">
        <f t="shared" si="6"/>
        <v>257</v>
      </c>
      <c r="I62">
        <f t="shared" si="7"/>
        <v>85.666666666666671</v>
      </c>
    </row>
    <row r="63" spans="1:9" x14ac:dyDescent="0.15">
      <c r="A63">
        <v>120304</v>
      </c>
      <c r="B63" t="s">
        <v>32</v>
      </c>
      <c r="C63" t="s">
        <v>30</v>
      </c>
      <c r="D63" t="str">
        <f t="shared" si="5"/>
        <v>3班</v>
      </c>
      <c r="E63">
        <v>74</v>
      </c>
      <c r="F63">
        <v>78</v>
      </c>
      <c r="G63">
        <v>79</v>
      </c>
      <c r="H63">
        <f t="shared" si="6"/>
        <v>231</v>
      </c>
      <c r="I63">
        <f t="shared" si="7"/>
        <v>77</v>
      </c>
    </row>
    <row r="64" spans="1:9" x14ac:dyDescent="0.15">
      <c r="A64">
        <v>120208</v>
      </c>
      <c r="B64" t="s">
        <v>33</v>
      </c>
      <c r="C64" t="s">
        <v>30</v>
      </c>
      <c r="D64" t="str">
        <f t="shared" si="5"/>
        <v>2班</v>
      </c>
      <c r="E64">
        <v>54</v>
      </c>
      <c r="F64">
        <v>74</v>
      </c>
      <c r="G64">
        <v>95</v>
      </c>
      <c r="H64">
        <f t="shared" si="6"/>
        <v>223</v>
      </c>
      <c r="I64">
        <f t="shared" si="7"/>
        <v>74.333333333333329</v>
      </c>
    </row>
    <row r="65" spans="1:9" x14ac:dyDescent="0.15">
      <c r="A65">
        <v>120303</v>
      </c>
      <c r="B65" t="s">
        <v>35</v>
      </c>
      <c r="C65" t="s">
        <v>30</v>
      </c>
      <c r="D65" t="str">
        <f t="shared" si="5"/>
        <v>3班</v>
      </c>
      <c r="E65">
        <v>55</v>
      </c>
      <c r="F65">
        <v>83</v>
      </c>
      <c r="G65">
        <v>58</v>
      </c>
      <c r="H65">
        <f t="shared" si="6"/>
        <v>196</v>
      </c>
      <c r="I65">
        <f t="shared" si="7"/>
        <v>65.333333333333329</v>
      </c>
    </row>
    <row r="66" spans="1:9" x14ac:dyDescent="0.15">
      <c r="A66">
        <v>120304</v>
      </c>
      <c r="B66" t="s">
        <v>36</v>
      </c>
      <c r="C66" t="s">
        <v>30</v>
      </c>
      <c r="D66" t="str">
        <f t="shared" si="5"/>
        <v>3班</v>
      </c>
      <c r="E66">
        <v>93</v>
      </c>
      <c r="F66">
        <v>85</v>
      </c>
      <c r="G66">
        <v>95</v>
      </c>
      <c r="H66">
        <f t="shared" si="6"/>
        <v>273</v>
      </c>
      <c r="I66">
        <f t="shared" si="7"/>
        <v>91</v>
      </c>
    </row>
  </sheetData>
  <sheetProtection sheet="1" objects="1" scenarios="1"/>
  <sortState ref="A54:I63">
    <sortCondition ref="C54:C63"/>
  </sortState>
  <mergeCells count="1">
    <mergeCell ref="A16:D16"/>
  </mergeCells>
  <phoneticPr fontId="2" type="noConversion"/>
  <conditionalFormatting sqref="E40:G49">
    <cfRule type="cellIs" dxfId="14" priority="9" operator="greaterThan">
      <formula>95</formula>
    </cfRule>
    <cfRule type="cellIs" dxfId="13" priority="13" operator="lessThan">
      <formula>60</formula>
    </cfRule>
    <cfRule type="cellIs" dxfId="12" priority="14" operator="greaterThanOrEqual">
      <formula>90</formula>
    </cfRule>
  </conditionalFormatting>
  <conditionalFormatting sqref="B39:C49">
    <cfRule type="duplicateValues" dxfId="11" priority="12"/>
  </conditionalFormatting>
  <conditionalFormatting sqref="H40:H49">
    <cfRule type="top10" dxfId="10" priority="11" rank="3"/>
  </conditionalFormatting>
  <conditionalFormatting sqref="I40:I49">
    <cfRule type="top10" dxfId="9" priority="10" rank="1"/>
  </conditionalFormatting>
  <conditionalFormatting sqref="E57:G66">
    <cfRule type="cellIs" dxfId="8" priority="3" operator="greaterThan">
      <formula>95</formula>
    </cfRule>
    <cfRule type="cellIs" dxfId="7" priority="7" operator="lessThan">
      <formula>60</formula>
    </cfRule>
    <cfRule type="cellIs" dxfId="6" priority="8" operator="greaterThanOrEqual">
      <formula>90</formula>
    </cfRule>
  </conditionalFormatting>
  <conditionalFormatting sqref="B56:C66">
    <cfRule type="duplicateValues" dxfId="5" priority="6"/>
  </conditionalFormatting>
  <conditionalFormatting sqref="H57:H66">
    <cfRule type="top10" dxfId="4" priority="2" bottom="1" rank="3"/>
    <cfRule type="top10" dxfId="3" priority="5" rank="3"/>
  </conditionalFormatting>
  <conditionalFormatting sqref="I57:I66">
    <cfRule type="top10" dxfId="2" priority="1" bottom="1" rank="1"/>
    <cfRule type="top10" dxfId="1" priority="4" rank="1"/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第二学期数据分析表</vt:lpstr>
      <vt:lpstr>第二学期成绩表 (2)</vt:lpstr>
      <vt:lpstr>门店1</vt:lpstr>
      <vt:lpstr>门店2</vt:lpstr>
      <vt:lpstr>总计</vt:lpstr>
      <vt:lpstr>第一学期成绩表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2019-10-21T08:35:29Z</dcterms:created>
  <dcterms:modified xsi:type="dcterms:W3CDTF">2019-11-05T16:21:24Z</dcterms:modified>
</cp:coreProperties>
</file>